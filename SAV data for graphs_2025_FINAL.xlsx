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mwestbrook\Downloads\"/>
    </mc:Choice>
  </mc:AlternateContent>
  <xr:revisionPtr revIDLastSave="0" documentId="13_ncr:1_{4B3B0921-FE76-49C9-94F2-524CFB4516F2}" xr6:coauthVersionLast="47" xr6:coauthVersionMax="47" xr10:uidLastSave="{00000000-0000-0000-0000-000000000000}"/>
  <bookViews>
    <workbookView xWindow="-28920" yWindow="-120" windowWidth="29040" windowHeight="15720" tabRatio="599" activeTab="2" xr2:uid="{00000000-000D-0000-FFFF-FFFF00000000}"/>
  </bookViews>
  <sheets>
    <sheet name="read me first!" sheetId="9" r:id="rId1"/>
    <sheet name="data for graphs" sheetId="6" r:id="rId2"/>
    <sheet name="create graphs here!" sheetId="8" r:id="rId3"/>
    <sheet name="graph" sheetId="11" r:id="rId4"/>
    <sheet name="Total MD SAV graph" sheetId="1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 i="8" l="1"/>
  <c r="N3" i="8"/>
  <c r="AP4" i="8"/>
  <c r="AO3" i="8"/>
  <c r="AO4" i="8"/>
  <c r="CJ3" i="6" l="1"/>
  <c r="CJ5" i="6"/>
  <c r="CJ6" i="6"/>
  <c r="CJ7" i="6"/>
  <c r="CJ9" i="6"/>
  <c r="CJ10" i="6"/>
  <c r="CJ11" i="6"/>
  <c r="CJ12" i="6"/>
  <c r="CJ13" i="6"/>
  <c r="CJ15" i="6"/>
  <c r="CJ16" i="6"/>
  <c r="CJ17" i="6"/>
  <c r="CJ19" i="6"/>
  <c r="CJ20" i="6"/>
  <c r="CJ21" i="6"/>
  <c r="CJ22" i="6"/>
  <c r="CJ23" i="6"/>
  <c r="CJ24" i="6"/>
  <c r="CJ25" i="6"/>
  <c r="CJ26" i="6"/>
  <c r="CJ27" i="6"/>
  <c r="CJ28" i="6"/>
  <c r="CJ29" i="6"/>
  <c r="CJ30" i="6"/>
  <c r="CJ31" i="6"/>
  <c r="CJ33" i="6"/>
  <c r="CJ34" i="6"/>
  <c r="CJ35" i="6"/>
  <c r="CJ36" i="6"/>
  <c r="CJ37" i="6"/>
  <c r="CJ38" i="6"/>
  <c r="CJ39" i="6"/>
  <c r="CJ40" i="6"/>
  <c r="CJ41" i="6"/>
  <c r="CJ42" i="6"/>
  <c r="CJ44" i="6"/>
  <c r="CJ45" i="6"/>
  <c r="CJ46" i="6"/>
  <c r="CJ48" i="6"/>
  <c r="CJ49" i="6"/>
  <c r="CJ51" i="6"/>
  <c r="CJ52" i="6"/>
  <c r="CJ54" i="6"/>
  <c r="CJ57" i="6"/>
  <c r="CJ58" i="6"/>
  <c r="CJ60" i="6"/>
  <c r="CJ61" i="6"/>
  <c r="CJ64" i="6"/>
  <c r="CJ65" i="6"/>
  <c r="CJ67" i="6"/>
  <c r="CJ68" i="6"/>
  <c r="CJ69" i="6"/>
  <c r="CJ70" i="6"/>
  <c r="CJ72" i="6"/>
  <c r="CJ73" i="6"/>
  <c r="CJ74" i="6"/>
  <c r="CJ2" i="6"/>
  <c r="CI3" i="6"/>
  <c r="CI5" i="6"/>
  <c r="CI6" i="6"/>
  <c r="CI7" i="6"/>
  <c r="CI9" i="6"/>
  <c r="CI10" i="6"/>
  <c r="CI11" i="6"/>
  <c r="CI12" i="6"/>
  <c r="CI13" i="6"/>
  <c r="CI15" i="6"/>
  <c r="CI16" i="6"/>
  <c r="CI17" i="6"/>
  <c r="CI19" i="6"/>
  <c r="CI20" i="6"/>
  <c r="CI21" i="6"/>
  <c r="CI22" i="6"/>
  <c r="CI23" i="6"/>
  <c r="CI24" i="6"/>
  <c r="CI25" i="6"/>
  <c r="CI26" i="6"/>
  <c r="CI27" i="6"/>
  <c r="CI28" i="6"/>
  <c r="CI29" i="6"/>
  <c r="CI30" i="6"/>
  <c r="CI31" i="6"/>
  <c r="CI32" i="6"/>
  <c r="CI33" i="6"/>
  <c r="CI34" i="6"/>
  <c r="CI35" i="6"/>
  <c r="CI36" i="6"/>
  <c r="CI37" i="6"/>
  <c r="CI38" i="6"/>
  <c r="CI39" i="6"/>
  <c r="CI40" i="6"/>
  <c r="CI41" i="6"/>
  <c r="CI42" i="6"/>
  <c r="CI43" i="6"/>
  <c r="CI44" i="6"/>
  <c r="CI45" i="6"/>
  <c r="CI46" i="6"/>
  <c r="CI48" i="6"/>
  <c r="CI49" i="6"/>
  <c r="CI51" i="6"/>
  <c r="CI52" i="6"/>
  <c r="CI54" i="6"/>
  <c r="CI55" i="6"/>
  <c r="CI56" i="6"/>
  <c r="CI57" i="6"/>
  <c r="CI58" i="6"/>
  <c r="CI59" i="6"/>
  <c r="CI60" i="6"/>
  <c r="CI61" i="6"/>
  <c r="CI62" i="6"/>
  <c r="CI64" i="6"/>
  <c r="CI65" i="6"/>
  <c r="CI66" i="6"/>
  <c r="CI67" i="6"/>
  <c r="CI68" i="6"/>
  <c r="CI69" i="6"/>
  <c r="CI70" i="6"/>
  <c r="CI72" i="6"/>
  <c r="CI73" i="6"/>
  <c r="CI74" i="6"/>
  <c r="CI75" i="6"/>
  <c r="CI2" i="6"/>
  <c r="CH3" i="6"/>
  <c r="CH5" i="6"/>
  <c r="CH11" i="6"/>
  <c r="CH12" i="6"/>
  <c r="CH13" i="6"/>
  <c r="CH15" i="6"/>
  <c r="CH16" i="6"/>
  <c r="CH17" i="6"/>
  <c r="CH19" i="6"/>
  <c r="CH20" i="6"/>
  <c r="CH21" i="6"/>
  <c r="CH22" i="6"/>
  <c r="CH23" i="6"/>
  <c r="CH24" i="6"/>
  <c r="CH26" i="6"/>
  <c r="CH27" i="6"/>
  <c r="CH28" i="6"/>
  <c r="CH29" i="6"/>
  <c r="CH30" i="6"/>
  <c r="CH33" i="6"/>
  <c r="CH34" i="6"/>
  <c r="CH35" i="6"/>
  <c r="CH38" i="6"/>
  <c r="CH39" i="6"/>
  <c r="CH40" i="6"/>
  <c r="CH44" i="6"/>
  <c r="CH45" i="6"/>
  <c r="CH46" i="6"/>
  <c r="CH48" i="6"/>
  <c r="CH49" i="6"/>
  <c r="CH51" i="6"/>
  <c r="CH52" i="6"/>
  <c r="CH54" i="6"/>
  <c r="CH57" i="6"/>
  <c r="CH67" i="6"/>
  <c r="CH68" i="6"/>
  <c r="CH73" i="6"/>
  <c r="CH2" i="6"/>
  <c r="CF71" i="6"/>
  <c r="CD71" i="6"/>
  <c r="CF53" i="6"/>
  <c r="CD53" i="6"/>
  <c r="CD63" i="6" s="1"/>
  <c r="CF50" i="6"/>
  <c r="CD50" i="6"/>
  <c r="CF47" i="6"/>
  <c r="CD47" i="6"/>
  <c r="CF18" i="6"/>
  <c r="CD18" i="6"/>
  <c r="CF14" i="6"/>
  <c r="CD14" i="6"/>
  <c r="CF8" i="6"/>
  <c r="CD8" i="6"/>
  <c r="CF4" i="6"/>
  <c r="CD4" i="6"/>
  <c r="CB4" i="6"/>
  <c r="CB71" i="6"/>
  <c r="CB53" i="6"/>
  <c r="CB63" i="6" s="1"/>
  <c r="CB50" i="6"/>
  <c r="CB47" i="6"/>
  <c r="CB18" i="6"/>
  <c r="CB14" i="6"/>
  <c r="CB8" i="6"/>
  <c r="CH71" i="6" l="1"/>
  <c r="CI71" i="6"/>
  <c r="CI53" i="6"/>
  <c r="CD76" i="6"/>
  <c r="CH18" i="6"/>
  <c r="CF63" i="6"/>
  <c r="CH63" i="6" s="1"/>
  <c r="CI18" i="6"/>
  <c r="CH53" i="6"/>
  <c r="CI14" i="6"/>
  <c r="CF76" i="6"/>
  <c r="AP3" i="8" s="1"/>
  <c r="CI47" i="6"/>
  <c r="CH50" i="6"/>
  <c r="CH4" i="6"/>
  <c r="CI50" i="6"/>
  <c r="CH14" i="6"/>
  <c r="CI4" i="6"/>
  <c r="CH47" i="6"/>
  <c r="CI8" i="6"/>
  <c r="CB76" i="6"/>
  <c r="AN3" i="8"/>
  <c r="CI76" i="6" l="1"/>
  <c r="CI63" i="6"/>
  <c r="CH76" i="6"/>
  <c r="CJ76" i="6"/>
  <c r="BZ76" i="6"/>
  <c r="BX71" i="6"/>
  <c r="BX53" i="6"/>
  <c r="BX63" i="6" s="1"/>
  <c r="BX50" i="6"/>
  <c r="BX47" i="6"/>
  <c r="BX18" i="6"/>
  <c r="BX14" i="6"/>
  <c r="BX8" i="6"/>
  <c r="BX4" i="6"/>
  <c r="AM3" i="8" l="1"/>
  <c r="BX76" i="6" l="1"/>
  <c r="BV8" i="6" l="1"/>
  <c r="BV71" i="6"/>
  <c r="BV53" i="6"/>
  <c r="BV63" i="6" s="1"/>
  <c r="BV50" i="6"/>
  <c r="BV18" i="6"/>
  <c r="BV14" i="6"/>
  <c r="BV47" i="6"/>
  <c r="BV4" i="6"/>
  <c r="AK3" i="8" s="1"/>
  <c r="BT76" i="6"/>
  <c r="AJ3" i="8" s="1"/>
  <c r="B5" i="8" l="1"/>
  <c r="A7" i="8" l="1"/>
  <c r="A6" i="8"/>
  <c r="CK71" i="6"/>
  <c r="CJ71" i="6" s="1"/>
  <c r="CK53" i="6"/>
  <c r="CJ53" i="6" s="1"/>
  <c r="CK50" i="6"/>
  <c r="CJ50" i="6" s="1"/>
  <c r="CK47" i="6"/>
  <c r="CJ47" i="6" s="1"/>
  <c r="CK18" i="6"/>
  <c r="CJ18" i="6" s="1"/>
  <c r="CK14" i="6"/>
  <c r="CJ14" i="6" s="1"/>
  <c r="CK8" i="6"/>
  <c r="CJ8" i="6" s="1"/>
  <c r="CK4" i="6"/>
  <c r="CJ4" i="6" s="1"/>
  <c r="BR71" i="6"/>
  <c r="BR53" i="6"/>
  <c r="BR63" i="6" s="1"/>
  <c r="BR50" i="6"/>
  <c r="BR47" i="6"/>
  <c r="BR18" i="6"/>
  <c r="BR14" i="6"/>
  <c r="BR8" i="6"/>
  <c r="BR4" i="6"/>
  <c r="A5" i="8"/>
  <c r="F71" i="6"/>
  <c r="BP71" i="6"/>
  <c r="BN71" i="6"/>
  <c r="BL71" i="6"/>
  <c r="BJ71" i="6"/>
  <c r="BH71" i="6"/>
  <c r="BF71" i="6"/>
  <c r="BD71" i="6"/>
  <c r="BB71" i="6"/>
  <c r="AZ71" i="6"/>
  <c r="AX71" i="6"/>
  <c r="AV71" i="6"/>
  <c r="AT71" i="6"/>
  <c r="AR71" i="6"/>
  <c r="AP71" i="6"/>
  <c r="AN71" i="6"/>
  <c r="AL71" i="6"/>
  <c r="AJ71" i="6"/>
  <c r="AH71" i="6"/>
  <c r="AF71" i="6"/>
  <c r="AD71" i="6"/>
  <c r="AB71" i="6"/>
  <c r="Z71" i="6"/>
  <c r="X71" i="6"/>
  <c r="V71" i="6"/>
  <c r="T71" i="6"/>
  <c r="R71" i="6"/>
  <c r="P71" i="6"/>
  <c r="N71" i="6"/>
  <c r="L71" i="6"/>
  <c r="J71" i="6"/>
  <c r="H71" i="6"/>
  <c r="BN63" i="6"/>
  <c r="AV63" i="6"/>
  <c r="J63" i="6"/>
  <c r="BP53" i="6"/>
  <c r="BP63" i="6" s="1"/>
  <c r="BN53" i="6"/>
  <c r="BL53" i="6"/>
  <c r="BL63" i="6" s="1"/>
  <c r="BJ53" i="6"/>
  <c r="BJ63" i="6" s="1"/>
  <c r="BH53" i="6"/>
  <c r="BH63" i="6" s="1"/>
  <c r="BF53" i="6"/>
  <c r="BF63" i="6" s="1"/>
  <c r="BD53" i="6"/>
  <c r="BD63" i="6" s="1"/>
  <c r="BB53" i="6"/>
  <c r="BB63" i="6" s="1"/>
  <c r="AZ53" i="6"/>
  <c r="AZ63" i="6" s="1"/>
  <c r="AX53" i="6"/>
  <c r="AX63" i="6" s="1"/>
  <c r="AV53" i="6"/>
  <c r="AT53" i="6"/>
  <c r="AT63" i="6" s="1"/>
  <c r="AR53" i="6"/>
  <c r="AR63" i="6" s="1"/>
  <c r="AP53" i="6"/>
  <c r="AP63" i="6" s="1"/>
  <c r="AN53" i="6"/>
  <c r="AN63" i="6" s="1"/>
  <c r="AL53" i="6"/>
  <c r="AL63" i="6" s="1"/>
  <c r="AJ53" i="6"/>
  <c r="AJ63" i="6" s="1"/>
  <c r="AH53" i="6"/>
  <c r="AH63" i="6" s="1"/>
  <c r="AF53" i="6"/>
  <c r="AF63" i="6" s="1"/>
  <c r="AD53" i="6"/>
  <c r="AD63" i="6" s="1"/>
  <c r="AB53" i="6"/>
  <c r="AB63" i="6" s="1"/>
  <c r="Z53" i="6"/>
  <c r="Z63" i="6" s="1"/>
  <c r="X53" i="6"/>
  <c r="X63" i="6" s="1"/>
  <c r="V53" i="6"/>
  <c r="V63" i="6" s="1"/>
  <c r="T53" i="6"/>
  <c r="T63" i="6" s="1"/>
  <c r="R53" i="6"/>
  <c r="R63" i="6" s="1"/>
  <c r="P53" i="6"/>
  <c r="P63" i="6" s="1"/>
  <c r="N53" i="6"/>
  <c r="N63" i="6" s="1"/>
  <c r="L53" i="6"/>
  <c r="L63" i="6" s="1"/>
  <c r="J53" i="6"/>
  <c r="H53" i="6"/>
  <c r="H63" i="6" s="1"/>
  <c r="F53" i="6"/>
  <c r="F63" i="6" s="1"/>
  <c r="BP50" i="6"/>
  <c r="BN50" i="6"/>
  <c r="BL50" i="6"/>
  <c r="BJ50" i="6"/>
  <c r="BH50" i="6"/>
  <c r="BF50" i="6"/>
  <c r="BD50" i="6"/>
  <c r="BB50" i="6"/>
  <c r="AZ50" i="6"/>
  <c r="AX50" i="6"/>
  <c r="AV50" i="6"/>
  <c r="AT50" i="6"/>
  <c r="AR50" i="6"/>
  <c r="AP50" i="6"/>
  <c r="AN50" i="6"/>
  <c r="AL50" i="6"/>
  <c r="AJ50" i="6"/>
  <c r="AH50" i="6"/>
  <c r="AF50" i="6"/>
  <c r="AD50" i="6"/>
  <c r="AB50" i="6"/>
  <c r="Z50" i="6"/>
  <c r="X50" i="6"/>
  <c r="V50" i="6"/>
  <c r="T50" i="6"/>
  <c r="R50" i="6"/>
  <c r="P50" i="6"/>
  <c r="N50" i="6"/>
  <c r="L50" i="6"/>
  <c r="J50" i="6"/>
  <c r="H50" i="6"/>
  <c r="F50" i="6"/>
  <c r="D47" i="6"/>
  <c r="BP47" i="6"/>
  <c r="BN47" i="6"/>
  <c r="BL47" i="6"/>
  <c r="BJ47" i="6"/>
  <c r="BH47" i="6"/>
  <c r="BF47" i="6"/>
  <c r="BD47" i="6"/>
  <c r="BB47" i="6"/>
  <c r="AZ47" i="6"/>
  <c r="AX47" i="6"/>
  <c r="AV47" i="6"/>
  <c r="AT47" i="6"/>
  <c r="AR47" i="6"/>
  <c r="AP47" i="6"/>
  <c r="AN47" i="6"/>
  <c r="AL47" i="6"/>
  <c r="AJ47" i="6"/>
  <c r="AH47" i="6"/>
  <c r="AF47" i="6"/>
  <c r="AD47" i="6"/>
  <c r="AB47" i="6"/>
  <c r="Z47" i="6"/>
  <c r="X47" i="6"/>
  <c r="V47" i="6"/>
  <c r="T47" i="6"/>
  <c r="R47" i="6"/>
  <c r="P47" i="6"/>
  <c r="N47" i="6"/>
  <c r="L47" i="6"/>
  <c r="J47" i="6"/>
  <c r="H47" i="6"/>
  <c r="F47" i="6"/>
  <c r="BP18" i="6"/>
  <c r="BN18" i="6"/>
  <c r="BL18" i="6"/>
  <c r="BJ18" i="6"/>
  <c r="BH18" i="6"/>
  <c r="BF18" i="6"/>
  <c r="BD18" i="6"/>
  <c r="BB18" i="6"/>
  <c r="AZ18" i="6"/>
  <c r="AX18" i="6"/>
  <c r="AV18" i="6"/>
  <c r="AT18" i="6"/>
  <c r="AR18" i="6"/>
  <c r="AP18" i="6"/>
  <c r="AN18" i="6"/>
  <c r="AL18" i="6"/>
  <c r="AJ18" i="6"/>
  <c r="AH18" i="6"/>
  <c r="AF18" i="6"/>
  <c r="AD18" i="6"/>
  <c r="AB18" i="6"/>
  <c r="Z18" i="6"/>
  <c r="X18" i="6"/>
  <c r="V18" i="6"/>
  <c r="T18" i="6"/>
  <c r="R18" i="6"/>
  <c r="P18" i="6"/>
  <c r="N18" i="6"/>
  <c r="L18" i="6"/>
  <c r="J18" i="6"/>
  <c r="H18" i="6"/>
  <c r="F18" i="6"/>
  <c r="BP14" i="6"/>
  <c r="BN14" i="6"/>
  <c r="BL14" i="6"/>
  <c r="BJ14" i="6"/>
  <c r="BH14" i="6"/>
  <c r="BF14" i="6"/>
  <c r="BD14" i="6"/>
  <c r="BB14" i="6"/>
  <c r="AZ14" i="6"/>
  <c r="AX14" i="6"/>
  <c r="AV14" i="6"/>
  <c r="AT14" i="6"/>
  <c r="AR14" i="6"/>
  <c r="AP14" i="6"/>
  <c r="AN14" i="6"/>
  <c r="AL14" i="6"/>
  <c r="AJ14" i="6"/>
  <c r="AH14" i="6"/>
  <c r="AF14" i="6"/>
  <c r="AD14" i="6"/>
  <c r="AB14" i="6"/>
  <c r="Z14" i="6"/>
  <c r="X14" i="6"/>
  <c r="V14" i="6"/>
  <c r="T14" i="6"/>
  <c r="R14" i="6"/>
  <c r="P14" i="6"/>
  <c r="N14" i="6"/>
  <c r="L14" i="6"/>
  <c r="J14" i="6"/>
  <c r="H14" i="6"/>
  <c r="F14" i="6"/>
  <c r="BP8" i="6"/>
  <c r="BN8" i="6"/>
  <c r="BL8" i="6"/>
  <c r="BJ8" i="6"/>
  <c r="BH8" i="6"/>
  <c r="BF8" i="6"/>
  <c r="BD8" i="6"/>
  <c r="BB8" i="6"/>
  <c r="AZ8" i="6"/>
  <c r="AX8" i="6"/>
  <c r="AV8" i="6"/>
  <c r="AT8" i="6"/>
  <c r="AR8" i="6"/>
  <c r="AP8" i="6"/>
  <c r="AN8" i="6"/>
  <c r="AL8" i="6"/>
  <c r="AJ8" i="6"/>
  <c r="AH8" i="6"/>
  <c r="AF8" i="6"/>
  <c r="AD8" i="6"/>
  <c r="AB8" i="6"/>
  <c r="Z8" i="6"/>
  <c r="X8" i="6"/>
  <c r="V8" i="6"/>
  <c r="T8" i="6"/>
  <c r="R8" i="6"/>
  <c r="P8" i="6"/>
  <c r="N8" i="6"/>
  <c r="L8" i="6"/>
  <c r="J8" i="6"/>
  <c r="H8" i="6"/>
  <c r="F8" i="6"/>
  <c r="H4" i="6"/>
  <c r="J4" i="6"/>
  <c r="L4" i="6"/>
  <c r="N4" i="6"/>
  <c r="P4" i="6"/>
  <c r="R4" i="6"/>
  <c r="T4" i="6"/>
  <c r="V4" i="6"/>
  <c r="X4" i="6"/>
  <c r="Z4" i="6"/>
  <c r="AB4" i="6"/>
  <c r="AD4" i="6"/>
  <c r="AF4" i="6"/>
  <c r="AH4" i="6"/>
  <c r="AJ4" i="6"/>
  <c r="AL4" i="6"/>
  <c r="AN4" i="6"/>
  <c r="AP4" i="6"/>
  <c r="AR4" i="6"/>
  <c r="AT4" i="6"/>
  <c r="AV4" i="6"/>
  <c r="AX4" i="6"/>
  <c r="AZ4" i="6"/>
  <c r="BB4" i="6"/>
  <c r="BD4" i="6"/>
  <c r="BF4" i="6"/>
  <c r="BH4" i="6"/>
  <c r="BJ4" i="6"/>
  <c r="BL4" i="6"/>
  <c r="BN4" i="6"/>
  <c r="BP4" i="6"/>
  <c r="F4" i="6"/>
  <c r="A3" i="8"/>
  <c r="B1" i="8" s="1"/>
  <c r="D76"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2" i="6"/>
  <c r="A4" i="8"/>
  <c r="CK63" i="6" l="1"/>
  <c r="CJ63" i="6" s="1"/>
  <c r="BR76" i="6"/>
  <c r="AI3" i="8" s="1"/>
  <c r="AN4" i="8"/>
  <c r="AM4" i="8"/>
  <c r="AL4" i="8"/>
  <c r="E4" i="8"/>
  <c r="Y4" i="8"/>
  <c r="AA4" i="8"/>
  <c r="H4" i="8"/>
  <c r="AC4" i="8"/>
  <c r="AD4" i="8"/>
  <c r="AF4" i="8"/>
  <c r="N4" i="8"/>
  <c r="AI4" i="8"/>
  <c r="Q4" i="8"/>
  <c r="S4" i="8"/>
  <c r="V4" i="8"/>
  <c r="F4" i="8"/>
  <c r="Z4" i="8"/>
  <c r="G4" i="8"/>
  <c r="AB4" i="8"/>
  <c r="J4" i="8"/>
  <c r="AE4" i="8"/>
  <c r="M4" i="8"/>
  <c r="AH4" i="8"/>
  <c r="P4" i="8"/>
  <c r="R4" i="8"/>
  <c r="T4" i="8"/>
  <c r="X4" i="8"/>
  <c r="I4" i="8"/>
  <c r="O4" i="8"/>
  <c r="AJ4" i="8"/>
  <c r="AK4" i="8"/>
  <c r="D4" i="8"/>
  <c r="C4" i="8"/>
  <c r="U4" i="8"/>
  <c r="W4" i="8"/>
  <c r="K4" i="8"/>
  <c r="L4" i="8"/>
  <c r="AG4" i="8"/>
  <c r="BN76" i="6"/>
  <c r="AG3" i="8" s="1"/>
  <c r="BF76" i="6"/>
  <c r="AC3" i="8" s="1"/>
  <c r="AX76" i="6"/>
  <c r="Y3" i="8" s="1"/>
  <c r="AP76" i="6"/>
  <c r="U3" i="8" s="1"/>
  <c r="AH76" i="6"/>
  <c r="Q3" i="8" s="1"/>
  <c r="Z76" i="6"/>
  <c r="M3" i="8" s="1"/>
  <c r="R76" i="6"/>
  <c r="I3" i="8" s="1"/>
  <c r="J76" i="6"/>
  <c r="E3" i="8" s="1"/>
  <c r="AT76" i="6"/>
  <c r="W3" i="8" s="1"/>
  <c r="B3" i="8"/>
  <c r="AD76" i="6"/>
  <c r="O3" i="8" s="1"/>
  <c r="AZ76" i="6"/>
  <c r="Z3" i="8" s="1"/>
  <c r="AJ76" i="6"/>
  <c r="R3" i="8" s="1"/>
  <c r="AB76" i="6"/>
  <c r="L76" i="6"/>
  <c r="F3" i="8" s="1"/>
  <c r="AV76" i="6"/>
  <c r="X3" i="8" s="1"/>
  <c r="F76" i="6"/>
  <c r="C3" i="8" s="1"/>
  <c r="N76" i="6"/>
  <c r="G3" i="8" s="1"/>
  <c r="AL76" i="6"/>
  <c r="S3" i="8" s="1"/>
  <c r="BJ76" i="6"/>
  <c r="AE3" i="8" s="1"/>
  <c r="X76" i="6"/>
  <c r="L3" i="8" s="1"/>
  <c r="AN76" i="6"/>
  <c r="T3" i="8" s="1"/>
  <c r="BL76" i="6"/>
  <c r="AF3" i="8" s="1"/>
  <c r="T76" i="6"/>
  <c r="J3" i="8" s="1"/>
  <c r="AR76" i="6"/>
  <c r="V3" i="8" s="1"/>
  <c r="BB76" i="6"/>
  <c r="AA3" i="8" s="1"/>
  <c r="V76" i="6"/>
  <c r="K3" i="8" s="1"/>
  <c r="BD76" i="6"/>
  <c r="AB3" i="8" s="1"/>
  <c r="AF76" i="6"/>
  <c r="P3" i="8" s="1"/>
  <c r="P76" i="6"/>
  <c r="H3" i="8" s="1"/>
  <c r="H76" i="6"/>
  <c r="D3" i="8" s="1"/>
  <c r="BH76" i="6"/>
  <c r="AD3" i="8" s="1"/>
  <c r="BP76" i="6"/>
  <c r="AH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rgolden</author>
  </authors>
  <commentList>
    <comment ref="B5" authorId="0" shapeId="0" xr:uid="{00000000-0006-0000-0200-000001000000}">
      <text>
        <r>
          <rPr>
            <b/>
            <sz val="9"/>
            <color indexed="81"/>
            <rFont val="Tahoma"/>
            <family val="2"/>
          </rPr>
          <t>rgolden:</t>
        </r>
        <r>
          <rPr>
            <sz val="9"/>
            <color indexed="81"/>
            <rFont val="Tahoma"/>
            <family val="2"/>
          </rPr>
          <t xml:space="preserve">
this cell links to the partial/no data cell in the previous tab.  Then it is displayed in the text box on the graph.  If blank, then no partial/no data.</t>
        </r>
      </text>
    </comment>
  </commentList>
</comments>
</file>

<file path=xl/sharedStrings.xml><?xml version="1.0" encoding="utf-8"?>
<sst xmlns="http://schemas.openxmlformats.org/spreadsheetml/2006/main" count="445" uniqueCount="258">
  <si>
    <t>Restoration Acreage Goal</t>
  </si>
  <si>
    <t>CB1TF1</t>
  </si>
  <si>
    <t>Northern Chesapeake Bay Segment 1</t>
  </si>
  <si>
    <t>CB1TF2</t>
  </si>
  <si>
    <t>Northern Chesapeake Bay Segment 2</t>
  </si>
  <si>
    <t>NORTF</t>
  </si>
  <si>
    <t>Northeast River</t>
  </si>
  <si>
    <t>ELKOH1</t>
  </si>
  <si>
    <t>Elk River Segment 1</t>
  </si>
  <si>
    <t>ELKOH2</t>
  </si>
  <si>
    <t>Elk River Segment 2</t>
  </si>
  <si>
    <t>BOHOH</t>
  </si>
  <si>
    <t>Bohemia River</t>
  </si>
  <si>
    <t>CB2OH</t>
  </si>
  <si>
    <t>Upper Chesapeake Bay</t>
  </si>
  <si>
    <t>SASOH1</t>
  </si>
  <si>
    <t>Sassafras River Segment 1</t>
  </si>
  <si>
    <t>SASOH2</t>
  </si>
  <si>
    <t>Sassafras River Segment 2</t>
  </si>
  <si>
    <t>BSHOH</t>
  </si>
  <si>
    <t>Bush River</t>
  </si>
  <si>
    <t>GUNOH1</t>
  </si>
  <si>
    <t>Gunpowder River Segment 1</t>
  </si>
  <si>
    <t>GUNOH2</t>
  </si>
  <si>
    <t>Gunpowder River Segment 2</t>
  </si>
  <si>
    <t>MIDOH</t>
  </si>
  <si>
    <t>Middle River</t>
  </si>
  <si>
    <t>BACOH</t>
  </si>
  <si>
    <t>Back River</t>
  </si>
  <si>
    <t>CB3MH</t>
  </si>
  <si>
    <t>Upper Central Chesapeake Bay</t>
  </si>
  <si>
    <t>PATMH</t>
  </si>
  <si>
    <t>Patapsco River</t>
  </si>
  <si>
    <t>MAGMH</t>
  </si>
  <si>
    <t>Magothy River</t>
  </si>
  <si>
    <t>CHSMH</t>
  </si>
  <si>
    <t>Lower Chester River</t>
  </si>
  <si>
    <t>CHSOH</t>
  </si>
  <si>
    <t>Middle Chester River</t>
  </si>
  <si>
    <t>CHSTF</t>
  </si>
  <si>
    <t>Upper Chester River</t>
  </si>
  <si>
    <t>CB4MH</t>
  </si>
  <si>
    <t>Middle Central Chesapeake Bay</t>
  </si>
  <si>
    <t>EASMH</t>
  </si>
  <si>
    <t>Eastern Bay</t>
  </si>
  <si>
    <t>CHOMH1</t>
  </si>
  <si>
    <t>Mouth of the Choptank River</t>
  </si>
  <si>
    <t>CHOMH2</t>
  </si>
  <si>
    <t>Lower Choptank River</t>
  </si>
  <si>
    <t>CHOOH</t>
  </si>
  <si>
    <t>Middle Choptank River</t>
  </si>
  <si>
    <t>CHOTF</t>
  </si>
  <si>
    <t>Upper Choptank River</t>
  </si>
  <si>
    <t>LCHMH</t>
  </si>
  <si>
    <t>Little Choptank River</t>
  </si>
  <si>
    <t>SEVMH</t>
  </si>
  <si>
    <t>Severn River</t>
  </si>
  <si>
    <t>SOUMH</t>
  </si>
  <si>
    <t>South River</t>
  </si>
  <si>
    <t>RHDMH</t>
  </si>
  <si>
    <t>Rhode River</t>
  </si>
  <si>
    <t>WSTMH</t>
  </si>
  <si>
    <t>West River</t>
  </si>
  <si>
    <t>HNGMH</t>
  </si>
  <si>
    <t>Honga River</t>
  </si>
  <si>
    <t>FSBMH</t>
  </si>
  <si>
    <t>Fishing Bay</t>
  </si>
  <si>
    <t>NANMH</t>
  </si>
  <si>
    <t>Lower Nanticoke River</t>
  </si>
  <si>
    <t>NANOH</t>
  </si>
  <si>
    <t>Middle Nanticoke River</t>
  </si>
  <si>
    <t>WICMH</t>
  </si>
  <si>
    <t>Wicomico River</t>
  </si>
  <si>
    <t>MANMH1</t>
  </si>
  <si>
    <t>Manokin River Segment 1</t>
  </si>
  <si>
    <t>MANMH2</t>
  </si>
  <si>
    <t>BIGMH1</t>
  </si>
  <si>
    <t>Big Annemessex River Segment 1</t>
  </si>
  <si>
    <t>BIGMH2</t>
  </si>
  <si>
    <t>Big Annemessex River Segment 2</t>
  </si>
  <si>
    <t>POCTF</t>
  </si>
  <si>
    <t>Upper Pocomoke River</t>
  </si>
  <si>
    <t>PAXMH1</t>
  </si>
  <si>
    <t>Lower Patuxent River Segment 1</t>
  </si>
  <si>
    <t>PAXMH2</t>
  </si>
  <si>
    <t>Lower Patuxent River Segment 2</t>
  </si>
  <si>
    <t>PAXMH3</t>
  </si>
  <si>
    <t>Lower Patuxent River Segment 3</t>
  </si>
  <si>
    <t>PAXMH4</t>
  </si>
  <si>
    <t>Lower Patuxent River Segment 4</t>
  </si>
  <si>
    <t>PAXMH5</t>
  </si>
  <si>
    <t>Lower Patuxent River Segment 5</t>
  </si>
  <si>
    <t>PAXMH6</t>
  </si>
  <si>
    <t>Lower Patuxent River Segment 6</t>
  </si>
  <si>
    <t>PAXOH</t>
  </si>
  <si>
    <t>Middle Patuxent River</t>
  </si>
  <si>
    <t>PAXTF</t>
  </si>
  <si>
    <t>Upper Patuxent River</t>
  </si>
  <si>
    <t>WBRTF</t>
  </si>
  <si>
    <t>Western Branch of the Patuxent River</t>
  </si>
  <si>
    <t>MATTF</t>
  </si>
  <si>
    <t>Mattawoman Creek</t>
  </si>
  <si>
    <t>PISTF</t>
  </si>
  <si>
    <t>Piscataway Creek</t>
  </si>
  <si>
    <t>CBPSEG</t>
  </si>
  <si>
    <t>Segment_Name</t>
  </si>
  <si>
    <t>Sort</t>
  </si>
  <si>
    <t>nd</t>
  </si>
  <si>
    <t>pd</t>
  </si>
  <si>
    <t>C&amp;DOH</t>
  </si>
  <si>
    <t>Chesapeake &amp; Delaware Canal</t>
  </si>
  <si>
    <t>CB5MH</t>
  </si>
  <si>
    <t>Lower Central Chesapeake Bay</t>
  </si>
  <si>
    <t>NANTF</t>
  </si>
  <si>
    <t>Upper Nanticoke River</t>
  </si>
  <si>
    <t>TANMH1</t>
  </si>
  <si>
    <t>Tangier Sound Segment 1</t>
  </si>
  <si>
    <t>TANMH2</t>
  </si>
  <si>
    <t>Tangier Sound Segment 2</t>
  </si>
  <si>
    <t>POCMH</t>
  </si>
  <si>
    <t>Lower Pocomoke River</t>
  </si>
  <si>
    <t>POCOH</t>
  </si>
  <si>
    <t>Middle Pocomoke River</t>
  </si>
  <si>
    <t>POTMH</t>
  </si>
  <si>
    <t>Lower Potomac River</t>
  </si>
  <si>
    <t>POTOH1</t>
  </si>
  <si>
    <t>Middle Potomac River Segment 1</t>
  </si>
  <si>
    <t>POTOH2</t>
  </si>
  <si>
    <t>Middle Potomac River Segment 2</t>
  </si>
  <si>
    <t>POTOH3</t>
  </si>
  <si>
    <t>Middle Potomac River Segment 3</t>
  </si>
  <si>
    <t>POTTF</t>
  </si>
  <si>
    <t>Upper Potomac River</t>
  </si>
  <si>
    <t>ANATF</t>
  </si>
  <si>
    <t>Anacostia River</t>
  </si>
  <si>
    <t>_1984</t>
  </si>
  <si>
    <t>_1985</t>
  </si>
  <si>
    <t>_1986</t>
  </si>
  <si>
    <t>_1987</t>
  </si>
  <si>
    <t>_1990</t>
  </si>
  <si>
    <t>_1991</t>
  </si>
  <si>
    <t>_1992</t>
  </si>
  <si>
    <t>_1993</t>
  </si>
  <si>
    <t>_1994</t>
  </si>
  <si>
    <t>_1995</t>
  </si>
  <si>
    <t>_1996</t>
  </si>
  <si>
    <t>_1997</t>
  </si>
  <si>
    <t>_1998</t>
  </si>
  <si>
    <t>_1999</t>
  </si>
  <si>
    <t>_2000</t>
  </si>
  <si>
    <t>_2001</t>
  </si>
  <si>
    <t>_2002</t>
  </si>
  <si>
    <t>_2003</t>
  </si>
  <si>
    <t>_2004</t>
  </si>
  <si>
    <t>_2005</t>
  </si>
  <si>
    <t>_2006</t>
  </si>
  <si>
    <t>_2007</t>
  </si>
  <si>
    <t>_2008</t>
  </si>
  <si>
    <t>_2009</t>
  </si>
  <si>
    <t>_2010</t>
  </si>
  <si>
    <t>_2011</t>
  </si>
  <si>
    <t>_2012</t>
  </si>
  <si>
    <t>_2013</t>
  </si>
  <si>
    <t>_2014</t>
  </si>
  <si>
    <t>_2015</t>
  </si>
  <si>
    <t>_2016</t>
  </si>
  <si>
    <t>NGZ</t>
  </si>
  <si>
    <t>Restoration Goal</t>
  </si>
  <si>
    <t>Elk River</t>
  </si>
  <si>
    <t>ELKOH</t>
  </si>
  <si>
    <t>If previous year's data need to updated, please make changes in the "data for graphs" worksheet.</t>
  </si>
  <si>
    <t>_2017</t>
  </si>
  <si>
    <t>Gunpowder River</t>
  </si>
  <si>
    <t>Tangier Sound</t>
  </si>
  <si>
    <t>Manokin River</t>
  </si>
  <si>
    <t>Big Annemessex River</t>
  </si>
  <si>
    <t>Lower Patuxent River</t>
  </si>
  <si>
    <t>Middle Potomac River</t>
  </si>
  <si>
    <t>Northern Chesapeake Bay</t>
  </si>
  <si>
    <t>CB1TF</t>
  </si>
  <si>
    <t>SASOH</t>
  </si>
  <si>
    <t>GUNOH</t>
  </si>
  <si>
    <t>TANMH</t>
  </si>
  <si>
    <t>MANMH</t>
  </si>
  <si>
    <t>BIGMH</t>
  </si>
  <si>
    <t>PAXMH</t>
  </si>
  <si>
    <t>POTOH</t>
  </si>
  <si>
    <t>(Tidal Fresh)</t>
  </si>
  <si>
    <t>(Oligohaline)</t>
  </si>
  <si>
    <t>(Mesohaline)</t>
  </si>
  <si>
    <t>Manokin River Segment 2</t>
  </si>
  <si>
    <t>Salinity</t>
  </si>
  <si>
    <t>Segment + Salinity</t>
  </si>
  <si>
    <t>Sassafras River</t>
  </si>
  <si>
    <t>You will need to format the y axis by changing number formats (add 2 decimal places) for CHOTF, POCOH, POCTF, WBRTF, NANTF and ANATF</t>
  </si>
  <si>
    <t>No or partial data?</t>
  </si>
  <si>
    <t>Partial data for 1999</t>
  </si>
  <si>
    <t>Partial data for 1984</t>
  </si>
  <si>
    <t>Partial data for 1984, 1986, 1999, 2001</t>
  </si>
  <si>
    <t>Partial data for 1999; No data for 1984, 1986, 2001</t>
  </si>
  <si>
    <t>Partial data for 1984, 1986, 1999; No data for 2001</t>
  </si>
  <si>
    <t>Partial data for 1999, 2001</t>
  </si>
  <si>
    <t>Partial data for 1999, No data for 2001</t>
  </si>
  <si>
    <t>Partial data for 2001</t>
  </si>
  <si>
    <t>Partial data for 2011</t>
  </si>
  <si>
    <t>Partial data for 1999, 2011</t>
  </si>
  <si>
    <t>No data for 1999, 2011</t>
  </si>
  <si>
    <t>No data for 2011</t>
  </si>
  <si>
    <t>Partial data for 2018</t>
  </si>
  <si>
    <t>Partial data for 2001, 2018</t>
  </si>
  <si>
    <t>No data for 2018</t>
  </si>
  <si>
    <t>Partial data for 1984, 2001, 2011, 2018</t>
  </si>
  <si>
    <t>Partial data for, 2001, 2011, 2018</t>
  </si>
  <si>
    <t>No data for 2001, 2011, 2016, 2018</t>
  </si>
  <si>
    <t>Partial data for 2018; No data for 1984, 1986, 2001</t>
  </si>
  <si>
    <t>2017 Target</t>
  </si>
  <si>
    <t>2025 Target</t>
  </si>
  <si>
    <t>Maryland Submerged Aquatic Vegetation (SAV) Abundance</t>
  </si>
  <si>
    <t>Partial data for 1999, 2001, 2003</t>
  </si>
  <si>
    <t>2018_nd</t>
  </si>
  <si>
    <t>2019_nd</t>
  </si>
  <si>
    <t>Partial data for 1984, 2003, 2016, 2018</t>
  </si>
  <si>
    <t>Partial data for 1984, 1986, 1999, 2001, 2003, 2011, 2016, 2018</t>
  </si>
  <si>
    <t>2020_nd</t>
  </si>
  <si>
    <t>2021_nd</t>
  </si>
  <si>
    <t>% change</t>
  </si>
  <si>
    <t>net loss/gain</t>
  </si>
  <si>
    <t>% of goal</t>
  </si>
  <si>
    <t>2022_nd</t>
  </si>
  <si>
    <t>select a segment from the drop down above to create a graph in the graph tab</t>
  </si>
  <si>
    <t xml:space="preserve">copy formulas over </t>
  </si>
  <si>
    <t>make sure data from most recent year has been copied to this sheet</t>
  </si>
  <si>
    <t>may need to change decimal places from 0 to 2 on some graph y axis</t>
  </si>
  <si>
    <t xml:space="preserve">  </t>
  </si>
  <si>
    <t>may need to format x axis to update new years on graph tab</t>
  </si>
  <si>
    <t>data for graphs tab</t>
  </si>
  <si>
    <t>Updated SAV data (preliminary and/or final) should be copied into the "data for graphs" worksheet.  Add the most recent year sequentially to the right, but before the % change and restoration goal columns. You may need to insert more columns.</t>
  </si>
  <si>
    <t>Split segments (CB1TF, ELKOH, GUNOH, SASOH, POTTF, POTOH, PAXMH, TANMH, MANMH, BIGMH) should be summed for annual acreages. They are highlighted in "data for graphs". Make sure all the data aligns.</t>
  </si>
  <si>
    <t>The "year_nd" columns denote whether partial data (pd) or no data (nd) was collected.  This should be updated each year. If pd or nd is present, add the corresponding year to the "No or partial data?" column.</t>
  </si>
  <si>
    <t>create graphs here!</t>
  </si>
  <si>
    <t>Once the updated data has been entered into "data for graphs", type that year in a new column to the right row 2 in "create graphs here!"</t>
  </si>
  <si>
    <t>Copy the formulas from rows 3 and 4 into new column.  They should reference the updated data from "data for graphs" and show the most recent acreage and restoration goal for the segment in the dropdown menu.</t>
  </si>
  <si>
    <t>Copy the numbers from rows 6 and 7 into the new column. They should reference the 2017 and 2025 MD restoration targets.</t>
  </si>
  <si>
    <t>Export each individual segment and MD total graph as a PDF. Save each PDF to corresponding "SAV charts by segment" folder (TEA\Common\SAVGROUP\#SAV\SAV charts by segment).</t>
  </si>
  <si>
    <t>Convert each PDF into jgeg and save into same folder.</t>
  </si>
  <si>
    <t>Total MD SAV graph</t>
  </si>
  <si>
    <t>The MD SAV totals are graphed here with corresponding 2017 and 2025 Targets</t>
  </si>
  <si>
    <t>Export this as PDF into TEA\Common\SAVGROUP\#SAV\SAV charts by segment and save as jpeg.</t>
  </si>
  <si>
    <t>Click in the dropdown menu to create dynamic graphs for each segment. The graphs will be displayed on the "graph" tab. The total MD SAV numbers graph will displaoy on the "Total MD SAV graph" tab when you select the last selection in the drop-down menu.</t>
  </si>
  <si>
    <t>graph</t>
  </si>
  <si>
    <t>You may need to format the x axis by right clicking on axis and select data. Make sure that the most recent year is included in the x axis range.</t>
  </si>
  <si>
    <t>You may need to extend the restoration goal line so that extends over the most recent year.</t>
  </si>
  <si>
    <t>2023_nd</t>
  </si>
  <si>
    <t>Partial data for 1984, 2001, 2011, 2018, 2023</t>
  </si>
  <si>
    <t>Partial data for 2001, 2011, 2016, 2018, 2023</t>
  </si>
  <si>
    <t>No data for 2001, 2011, 2016, 2018, 2023</t>
  </si>
  <si>
    <t>2024_nd</t>
  </si>
  <si>
    <t>_1989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</si>
</sst>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2" x14ac:knownFonts="1">
    <font>
      <sz val="10"/>
      <name val="Arial"/>
    </font>
    <font>
      <sz val="11"/>
      <color theme="1"/>
      <name val="Calibri"/>
      <family val="2"/>
      <scheme val="minor"/>
    </font>
    <font>
      <sz val="11"/>
      <color indexed="8"/>
      <name val="Calibri"/>
      <family val="2"/>
    </font>
    <font>
      <sz val="11"/>
      <color indexed="9"/>
      <name val="Calibri"/>
      <family val="2"/>
    </font>
    <font>
      <sz val="11"/>
      <color indexed="22"/>
      <name val="Calibri"/>
      <family val="2"/>
    </font>
    <font>
      <sz val="11"/>
      <color indexed="20"/>
      <name val="Calibri"/>
      <family val="2"/>
    </font>
    <font>
      <b/>
      <sz val="11"/>
      <color indexed="52"/>
      <name val="Calibri"/>
      <family val="2"/>
    </font>
    <font>
      <b/>
      <sz val="11"/>
      <color indexed="9"/>
      <name val="Calibri"/>
      <family val="2"/>
    </font>
    <font>
      <b/>
      <sz val="11"/>
      <color indexed="22"/>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8"/>
      <color indexed="62"/>
      <name val="Cambria"/>
      <family val="2"/>
    </font>
    <font>
      <b/>
      <sz val="11"/>
      <color indexed="8"/>
      <name val="Calibri"/>
      <family val="2"/>
    </font>
    <font>
      <sz val="11"/>
      <color indexed="10"/>
      <name val="Calibri"/>
      <family val="2"/>
    </font>
    <font>
      <sz val="11"/>
      <color theme="1"/>
      <name val="Calibri"/>
      <family val="2"/>
      <scheme val="minor"/>
    </font>
    <font>
      <sz val="10"/>
      <color theme="9" tint="-0.249977111117893"/>
      <name val="Arial"/>
      <family val="2"/>
    </font>
    <font>
      <sz val="11"/>
      <color theme="9" tint="-0.249977111117893"/>
      <name val="Calibri"/>
      <family val="2"/>
      <scheme val="minor"/>
    </font>
    <font>
      <sz val="10"/>
      <color rgb="FFFF0000"/>
      <name val="Arial"/>
      <family val="2"/>
    </font>
    <font>
      <sz val="11"/>
      <color rgb="FFFF0000"/>
      <name val="Calibri"/>
      <family val="2"/>
      <scheme val="minor"/>
    </font>
    <font>
      <sz val="10"/>
      <color theme="9" tint="-0.249977111117893"/>
      <name val="Arial"/>
      <family val="2"/>
    </font>
    <font>
      <sz val="9"/>
      <color indexed="81"/>
      <name val="Tahoma"/>
      <family val="2"/>
    </font>
    <font>
      <b/>
      <sz val="9"/>
      <color indexed="81"/>
      <name val="Tahoma"/>
      <family val="2"/>
    </font>
    <font>
      <sz val="11"/>
      <color rgb="FF333333"/>
      <name val="Arial"/>
      <family val="2"/>
    </font>
    <font>
      <sz val="11"/>
      <name val="Calibri"/>
      <family val="2"/>
      <scheme val="minor"/>
    </font>
    <font>
      <sz val="10"/>
      <color theme="6"/>
      <name val="Arial"/>
      <family val="2"/>
    </font>
    <font>
      <b/>
      <u/>
      <sz val="10"/>
      <name val="Arial"/>
      <family val="2"/>
    </font>
    <font>
      <b/>
      <sz val="10"/>
      <name val="Arial"/>
      <family val="2"/>
    </font>
    <font>
      <sz val="11"/>
      <name val="Times New Roman"/>
      <family val="1"/>
    </font>
    <font>
      <b/>
      <sz val="11"/>
      <name val="Garamond"/>
      <family val="1"/>
    </font>
    <font>
      <b/>
      <sz val="10"/>
      <name val="Times New Roman"/>
      <family val="1"/>
    </font>
  </fonts>
  <fills count="28">
    <fill>
      <patternFill patternType="none"/>
    </fill>
    <fill>
      <patternFill patternType="gray125"/>
    </fill>
    <fill>
      <patternFill patternType="solid">
        <fgColor indexed="31"/>
      </patternFill>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rgb="FFFFFF00"/>
        <bgColor indexed="64"/>
      </patternFill>
    </fill>
    <fill>
      <patternFill patternType="solid">
        <fgColor theme="8" tint="0.79998168889431442"/>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s>
  <cellStyleXfs count="164">
    <xf numFmtId="0" fontId="0" fillId="0" borderId="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3" fillId="16" borderId="0" applyNumberFormat="0" applyBorder="0" applyAlignment="0" applyProtection="0"/>
    <xf numFmtId="0" fontId="4" fillId="17" borderId="0" applyNumberFormat="0" applyBorder="0" applyAlignment="0" applyProtection="0"/>
    <xf numFmtId="0" fontId="3" fillId="12" borderId="0" applyNumberFormat="0" applyBorder="0" applyAlignment="0" applyProtection="0"/>
    <xf numFmtId="0" fontId="4"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3" fillId="18" borderId="0" applyNumberFormat="0" applyBorder="0" applyAlignment="0" applyProtection="0"/>
    <xf numFmtId="0" fontId="4" fillId="11" borderId="0" applyNumberFormat="0" applyBorder="0" applyAlignment="0" applyProtection="0"/>
    <xf numFmtId="0" fontId="3" fillId="17" borderId="0" applyNumberFormat="0" applyBorder="0" applyAlignment="0" applyProtection="0"/>
    <xf numFmtId="0" fontId="4" fillId="17" borderId="0" applyNumberFormat="0" applyBorder="0" applyAlignment="0" applyProtection="0"/>
    <xf numFmtId="0" fontId="3" fillId="19" borderId="0" applyNumberFormat="0" applyBorder="0" applyAlignment="0" applyProtection="0"/>
    <xf numFmtId="0" fontId="4" fillId="5" borderId="0" applyNumberFormat="0" applyBorder="0" applyAlignment="0" applyProtection="0"/>
    <xf numFmtId="0" fontId="3" fillId="20" borderId="0" applyNumberFormat="0" applyBorder="0" applyAlignment="0" applyProtection="0"/>
    <xf numFmtId="0" fontId="4" fillId="17" borderId="0" applyNumberFormat="0" applyBorder="0" applyAlignment="0" applyProtection="0"/>
    <xf numFmtId="0" fontId="3" fillId="21" borderId="0" applyNumberFormat="0" applyBorder="0" applyAlignment="0" applyProtection="0"/>
    <xf numFmtId="0" fontId="4" fillId="21" borderId="0" applyNumberFormat="0" applyBorder="0" applyAlignment="0" applyProtection="0"/>
    <xf numFmtId="0" fontId="3" fillId="22" borderId="0" applyNumberFormat="0" applyBorder="0" applyAlignment="0" applyProtection="0"/>
    <xf numFmtId="0" fontId="4" fillId="22" borderId="0" applyNumberFormat="0" applyBorder="0" applyAlignment="0" applyProtection="0"/>
    <xf numFmtId="0" fontId="3" fillId="18" borderId="0" applyNumberFormat="0" applyBorder="0" applyAlignment="0" applyProtection="0"/>
    <xf numFmtId="0" fontId="4" fillId="23" borderId="0" applyNumberFormat="0" applyBorder="0" applyAlignment="0" applyProtection="0"/>
    <xf numFmtId="0" fontId="3" fillId="17" borderId="0" applyNumberFormat="0" applyBorder="0" applyAlignment="0" applyProtection="0"/>
    <xf numFmtId="0" fontId="4" fillId="17" borderId="0" applyNumberFormat="0" applyBorder="0" applyAlignment="0" applyProtection="0"/>
    <xf numFmtId="0" fontId="3" fillId="24" borderId="0" applyNumberFormat="0" applyBorder="0" applyAlignment="0" applyProtection="0"/>
    <xf numFmtId="0" fontId="4" fillId="2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6" fillId="11" borderId="1" applyNumberFormat="0" applyAlignment="0" applyProtection="0"/>
    <xf numFmtId="0" fontId="6" fillId="3" borderId="1" applyNumberFormat="0" applyAlignment="0" applyProtection="0"/>
    <xf numFmtId="0" fontId="7" fillId="25" borderId="2" applyNumberFormat="0" applyAlignment="0" applyProtection="0"/>
    <xf numFmtId="0" fontId="8" fillId="25" borderId="2"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6" borderId="0" applyNumberFormat="0" applyBorder="0" applyAlignment="0" applyProtection="0"/>
    <xf numFmtId="0" fontId="11" fillId="6"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5" borderId="1" applyNumberFormat="0" applyAlignment="0" applyProtection="0"/>
    <xf numFmtId="0" fontId="18" fillId="5" borderId="1" applyNumberFormat="0" applyAlignment="0" applyProtection="0"/>
    <xf numFmtId="0" fontId="19" fillId="0" borderId="8" applyNumberFormat="0" applyFill="0" applyAlignment="0" applyProtection="0"/>
    <xf numFmtId="0" fontId="19" fillId="0" borderId="8" applyNumberFormat="0" applyFill="0" applyAlignment="0" applyProtection="0"/>
    <xf numFmtId="0" fontId="20" fillId="14" borderId="0" applyNumberFormat="0" applyBorder="0" applyAlignment="0" applyProtection="0"/>
    <xf numFmtId="0" fontId="20" fillId="1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7" borderId="9" applyNumberFormat="0" applyFont="0" applyAlignment="0" applyProtection="0"/>
    <xf numFmtId="0" fontId="2" fillId="7" borderId="9" applyNumberFormat="0" applyFont="0" applyAlignment="0" applyProtection="0"/>
    <xf numFmtId="0" fontId="2" fillId="7" borderId="9" applyNumberFormat="0" applyFont="0" applyAlignment="0" applyProtection="0"/>
    <xf numFmtId="0" fontId="2" fillId="7" borderId="9" applyNumberFormat="0" applyFont="0" applyAlignment="0" applyProtection="0"/>
    <xf numFmtId="0" fontId="2" fillId="7" borderId="9" applyNumberFormat="0" applyFont="0" applyAlignment="0" applyProtection="0"/>
    <xf numFmtId="0" fontId="2" fillId="7" borderId="9" applyNumberFormat="0" applyFont="0" applyAlignment="0" applyProtection="0"/>
    <xf numFmtId="0" fontId="2" fillId="7" borderId="9" applyNumberFormat="0" applyFont="0" applyAlignment="0" applyProtection="0"/>
    <xf numFmtId="0" fontId="21" fillId="11" borderId="10" applyNumberFormat="0" applyAlignment="0" applyProtection="0"/>
    <xf numFmtId="0" fontId="21" fillId="3" borderId="10" applyNumberFormat="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4" fillId="0" borderId="12"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cellStyleXfs>
  <cellXfs count="39">
    <xf numFmtId="0" fontId="0" fillId="0" borderId="0" xfId="0"/>
    <xf numFmtId="0" fontId="26" fillId="0" borderId="0" xfId="131" applyFont="1"/>
    <xf numFmtId="0" fontId="26" fillId="0" borderId="0" xfId="130" applyFont="1"/>
    <xf numFmtId="2" fontId="0" fillId="0" borderId="0" xfId="0" applyNumberFormat="1"/>
    <xf numFmtId="2" fontId="26" fillId="0" borderId="0" xfId="130" applyNumberFormat="1" applyFont="1"/>
    <xf numFmtId="2" fontId="27" fillId="0" borderId="0" xfId="0" applyNumberFormat="1" applyFont="1"/>
    <xf numFmtId="2" fontId="28" fillId="0" borderId="0" xfId="130" applyNumberFormat="1" applyFont="1"/>
    <xf numFmtId="2" fontId="29" fillId="0" borderId="0" xfId="0" applyNumberFormat="1" applyFont="1"/>
    <xf numFmtId="2" fontId="30" fillId="0" borderId="0" xfId="130" applyNumberFormat="1" applyFont="1"/>
    <xf numFmtId="2" fontId="31" fillId="0" borderId="0" xfId="0" applyNumberFormat="1" applyFont="1"/>
    <xf numFmtId="0" fontId="9" fillId="0" borderId="0" xfId="0" applyFont="1"/>
    <xf numFmtId="0" fontId="9" fillId="26" borderId="0" xfId="0" applyFont="1" applyFill="1"/>
    <xf numFmtId="0" fontId="0" fillId="26" borderId="0" xfId="0" applyFill="1"/>
    <xf numFmtId="2" fontId="0" fillId="26" borderId="0" xfId="0" applyNumberFormat="1" applyFill="1"/>
    <xf numFmtId="2" fontId="26" fillId="26" borderId="0" xfId="130" applyNumberFormat="1" applyFont="1" applyFill="1"/>
    <xf numFmtId="2" fontId="27" fillId="26" borderId="0" xfId="0" applyNumberFormat="1" applyFont="1" applyFill="1"/>
    <xf numFmtId="2" fontId="31" fillId="26" borderId="0" xfId="0" applyNumberFormat="1" applyFont="1" applyFill="1"/>
    <xf numFmtId="2" fontId="29" fillId="26" borderId="0" xfId="0" applyNumberFormat="1" applyFont="1" applyFill="1"/>
    <xf numFmtId="2" fontId="9" fillId="26" borderId="0" xfId="0" applyNumberFormat="1" applyFont="1" applyFill="1"/>
    <xf numFmtId="0" fontId="34" fillId="0" borderId="0" xfId="0" applyFont="1"/>
    <xf numFmtId="2" fontId="35" fillId="0" borderId="0" xfId="130" applyNumberFormat="1" applyFont="1"/>
    <xf numFmtId="0" fontId="1" fillId="0" borderId="0" xfId="130" applyFont="1"/>
    <xf numFmtId="0" fontId="29" fillId="0" borderId="0" xfId="0" applyFont="1"/>
    <xf numFmtId="0" fontId="36" fillId="0" borderId="0" xfId="0" applyFont="1"/>
    <xf numFmtId="9" fontId="0" fillId="0" borderId="0" xfId="0" applyNumberFormat="1"/>
    <xf numFmtId="9" fontId="35" fillId="0" borderId="0" xfId="130" applyNumberFormat="1" applyFont="1"/>
    <xf numFmtId="0" fontId="29" fillId="26" borderId="0" xfId="0" applyFont="1" applyFill="1"/>
    <xf numFmtId="0" fontId="37" fillId="0" borderId="0" xfId="0" applyFont="1"/>
    <xf numFmtId="0" fontId="38" fillId="0" borderId="0" xfId="0" applyFont="1"/>
    <xf numFmtId="2" fontId="38" fillId="0" borderId="0" xfId="0" applyNumberFormat="1" applyFont="1"/>
    <xf numFmtId="9" fontId="38" fillId="0" borderId="0" xfId="0" applyNumberFormat="1" applyFont="1"/>
    <xf numFmtId="3" fontId="39" fillId="26" borderId="0" xfId="141" applyNumberFormat="1" applyFont="1" applyFill="1" applyAlignment="1">
      <alignment horizontal="center"/>
    </xf>
    <xf numFmtId="1" fontId="39" fillId="26" borderId="0" xfId="141" applyNumberFormat="1" applyFont="1" applyFill="1" applyAlignment="1">
      <alignment horizontal="center"/>
    </xf>
    <xf numFmtId="3" fontId="39" fillId="26" borderId="0" xfId="141" applyNumberFormat="1" applyFont="1" applyFill="1" applyAlignment="1">
      <alignment horizontal="center" wrapText="1"/>
    </xf>
    <xf numFmtId="3" fontId="40" fillId="0" borderId="0" xfId="0" applyNumberFormat="1" applyFont="1"/>
    <xf numFmtId="3" fontId="0" fillId="27" borderId="0" xfId="0" applyNumberFormat="1" applyFill="1" applyAlignment="1">
      <alignment horizontal="center"/>
    </xf>
    <xf numFmtId="3" fontId="41" fillId="0" borderId="0" xfId="141" applyNumberFormat="1" applyFont="1" applyAlignment="1">
      <alignment horizontal="center" wrapText="1"/>
    </xf>
    <xf numFmtId="0" fontId="38" fillId="0" borderId="0" xfId="0" applyFont="1" applyAlignment="1">
      <alignment horizontal="center"/>
    </xf>
    <xf numFmtId="0" fontId="0" fillId="0" borderId="0" xfId="0" applyAlignment="1">
      <alignment horizontal="center"/>
    </xf>
  </cellXfs>
  <cellStyles count="164">
    <cellStyle name="20% - Accent1" xfId="1" builtinId="30" customBuiltin="1"/>
    <cellStyle name="20% - Accent1 2" xfId="2" xr:uid="{00000000-0005-0000-0000-000001000000}"/>
    <cellStyle name="20% - Accent1 2 2" xfId="3" xr:uid="{00000000-0005-0000-0000-000002000000}"/>
    <cellStyle name="20% - Accent1 3" xfId="4" xr:uid="{00000000-0005-0000-0000-000003000000}"/>
    <cellStyle name="20% - Accent1 4" xfId="5" xr:uid="{00000000-0005-0000-0000-000004000000}"/>
    <cellStyle name="20% - Accent1 5" xfId="6" xr:uid="{00000000-0005-0000-0000-000005000000}"/>
    <cellStyle name="20% - Accent2" xfId="7" builtinId="34" customBuiltin="1"/>
    <cellStyle name="20% - Accent2 2" xfId="8" xr:uid="{00000000-0005-0000-0000-000007000000}"/>
    <cellStyle name="20% - Accent2 2 2" xfId="9" xr:uid="{00000000-0005-0000-0000-000008000000}"/>
    <cellStyle name="20% - Accent2 3" xfId="10" xr:uid="{00000000-0005-0000-0000-000009000000}"/>
    <cellStyle name="20% - Accent2 4" xfId="11" xr:uid="{00000000-0005-0000-0000-00000A000000}"/>
    <cellStyle name="20% - Accent2 5" xfId="12" xr:uid="{00000000-0005-0000-0000-00000B000000}"/>
    <cellStyle name="20% - Accent3" xfId="13" builtinId="38" customBuiltin="1"/>
    <cellStyle name="20% - Accent3 2" xfId="14" xr:uid="{00000000-0005-0000-0000-00000D000000}"/>
    <cellStyle name="20% - Accent3 2 2" xfId="15" xr:uid="{00000000-0005-0000-0000-00000E000000}"/>
    <cellStyle name="20% - Accent3 3" xfId="16" xr:uid="{00000000-0005-0000-0000-00000F000000}"/>
    <cellStyle name="20% - Accent3 4" xfId="17" xr:uid="{00000000-0005-0000-0000-000010000000}"/>
    <cellStyle name="20% - Accent3 5" xfId="18" xr:uid="{00000000-0005-0000-0000-000011000000}"/>
    <cellStyle name="20% - Accent4" xfId="19" builtinId="42" customBuiltin="1"/>
    <cellStyle name="20% - Accent4 2" xfId="20" xr:uid="{00000000-0005-0000-0000-000013000000}"/>
    <cellStyle name="20% - Accent4 2 2" xfId="21" xr:uid="{00000000-0005-0000-0000-000014000000}"/>
    <cellStyle name="20% - Accent4 3" xfId="22" xr:uid="{00000000-0005-0000-0000-000015000000}"/>
    <cellStyle name="20% - Accent4 4" xfId="23" xr:uid="{00000000-0005-0000-0000-000016000000}"/>
    <cellStyle name="20% - Accent4 5" xfId="24" xr:uid="{00000000-0005-0000-0000-000017000000}"/>
    <cellStyle name="20% - Accent5" xfId="25" builtinId="46" customBuiltin="1"/>
    <cellStyle name="20% - Accent5 2" xfId="26" xr:uid="{00000000-0005-0000-0000-000019000000}"/>
    <cellStyle name="20% - Accent5 2 2" xfId="27" xr:uid="{00000000-0005-0000-0000-00001A000000}"/>
    <cellStyle name="20% - Accent5 3" xfId="28" xr:uid="{00000000-0005-0000-0000-00001B000000}"/>
    <cellStyle name="20% - Accent5 4" xfId="29" xr:uid="{00000000-0005-0000-0000-00001C000000}"/>
    <cellStyle name="20% - Accent5 5" xfId="30" xr:uid="{00000000-0005-0000-0000-00001D000000}"/>
    <cellStyle name="20% - Accent6" xfId="31" builtinId="50" customBuiltin="1"/>
    <cellStyle name="20% - Accent6 2" xfId="32" xr:uid="{00000000-0005-0000-0000-00001F000000}"/>
    <cellStyle name="20% - Accent6 2 2" xfId="33" xr:uid="{00000000-0005-0000-0000-000020000000}"/>
    <cellStyle name="20% - Accent6 3" xfId="34" xr:uid="{00000000-0005-0000-0000-000021000000}"/>
    <cellStyle name="20% - Accent6 4" xfId="35" xr:uid="{00000000-0005-0000-0000-000022000000}"/>
    <cellStyle name="20% - Accent6 5" xfId="36" xr:uid="{00000000-0005-0000-0000-000023000000}"/>
    <cellStyle name="40% - Accent1" xfId="37" builtinId="31" customBuiltin="1"/>
    <cellStyle name="40% - Accent1 2" xfId="38" xr:uid="{00000000-0005-0000-0000-000025000000}"/>
    <cellStyle name="40% - Accent1 2 2" xfId="39" xr:uid="{00000000-0005-0000-0000-000026000000}"/>
    <cellStyle name="40% - Accent1 3" xfId="40" xr:uid="{00000000-0005-0000-0000-000027000000}"/>
    <cellStyle name="40% - Accent1 4" xfId="41" xr:uid="{00000000-0005-0000-0000-000028000000}"/>
    <cellStyle name="40% - Accent1 5" xfId="42" xr:uid="{00000000-0005-0000-0000-000029000000}"/>
    <cellStyle name="40% - Accent2" xfId="43" builtinId="35" customBuiltin="1"/>
    <cellStyle name="40% - Accent2 2" xfId="44" xr:uid="{00000000-0005-0000-0000-00002B000000}"/>
    <cellStyle name="40% - Accent2 2 2" xfId="45" xr:uid="{00000000-0005-0000-0000-00002C000000}"/>
    <cellStyle name="40% - Accent2 3" xfId="46" xr:uid="{00000000-0005-0000-0000-00002D000000}"/>
    <cellStyle name="40% - Accent2 4" xfId="47" xr:uid="{00000000-0005-0000-0000-00002E000000}"/>
    <cellStyle name="40% - Accent2 5" xfId="48" xr:uid="{00000000-0005-0000-0000-00002F000000}"/>
    <cellStyle name="40% - Accent3" xfId="49" builtinId="39" customBuiltin="1"/>
    <cellStyle name="40% - Accent3 2" xfId="50" xr:uid="{00000000-0005-0000-0000-000031000000}"/>
    <cellStyle name="40% - Accent3 2 2" xfId="51" xr:uid="{00000000-0005-0000-0000-000032000000}"/>
    <cellStyle name="40% - Accent3 3" xfId="52" xr:uid="{00000000-0005-0000-0000-000033000000}"/>
    <cellStyle name="40% - Accent3 4" xfId="53" xr:uid="{00000000-0005-0000-0000-000034000000}"/>
    <cellStyle name="40% - Accent3 5" xfId="54" xr:uid="{00000000-0005-0000-0000-000035000000}"/>
    <cellStyle name="40% - Accent4" xfId="55" builtinId="43" customBuiltin="1"/>
    <cellStyle name="40% - Accent4 2" xfId="56" xr:uid="{00000000-0005-0000-0000-000037000000}"/>
    <cellStyle name="40% - Accent4 2 2" xfId="57" xr:uid="{00000000-0005-0000-0000-000038000000}"/>
    <cellStyle name="40% - Accent4 3" xfId="58" xr:uid="{00000000-0005-0000-0000-000039000000}"/>
    <cellStyle name="40% - Accent4 4" xfId="59" xr:uid="{00000000-0005-0000-0000-00003A000000}"/>
    <cellStyle name="40% - Accent4 5" xfId="60" xr:uid="{00000000-0005-0000-0000-00003B000000}"/>
    <cellStyle name="40% - Accent5" xfId="61" builtinId="47" customBuiltin="1"/>
    <cellStyle name="40% - Accent5 2" xfId="62" xr:uid="{00000000-0005-0000-0000-00003D000000}"/>
    <cellStyle name="40% - Accent5 2 2" xfId="63" xr:uid="{00000000-0005-0000-0000-00003E000000}"/>
    <cellStyle name="40% - Accent5 3" xfId="64" xr:uid="{00000000-0005-0000-0000-00003F000000}"/>
    <cellStyle name="40% - Accent5 4" xfId="65" xr:uid="{00000000-0005-0000-0000-000040000000}"/>
    <cellStyle name="40% - Accent5 5" xfId="66" xr:uid="{00000000-0005-0000-0000-000041000000}"/>
    <cellStyle name="40% - Accent6" xfId="67" builtinId="51" customBuiltin="1"/>
    <cellStyle name="40% - Accent6 2" xfId="68" xr:uid="{00000000-0005-0000-0000-000043000000}"/>
    <cellStyle name="40% - Accent6 2 2" xfId="69" xr:uid="{00000000-0005-0000-0000-000044000000}"/>
    <cellStyle name="40% - Accent6 3" xfId="70" xr:uid="{00000000-0005-0000-0000-000045000000}"/>
    <cellStyle name="40% - Accent6 4" xfId="71" xr:uid="{00000000-0005-0000-0000-000046000000}"/>
    <cellStyle name="40% - Accent6 5" xfId="72" xr:uid="{00000000-0005-0000-0000-000047000000}"/>
    <cellStyle name="60% - Accent1" xfId="73" builtinId="32" customBuiltin="1"/>
    <cellStyle name="60% - Accent1 2" xfId="74" xr:uid="{00000000-0005-0000-0000-000049000000}"/>
    <cellStyle name="60% - Accent2" xfId="75" builtinId="36" customBuiltin="1"/>
    <cellStyle name="60% - Accent2 2" xfId="76" xr:uid="{00000000-0005-0000-0000-00004B000000}"/>
    <cellStyle name="60% - Accent3" xfId="77" builtinId="40" customBuiltin="1"/>
    <cellStyle name="60% - Accent3 2" xfId="78" xr:uid="{00000000-0005-0000-0000-00004D000000}"/>
    <cellStyle name="60% - Accent4" xfId="79" builtinId="44" customBuiltin="1"/>
    <cellStyle name="60% - Accent4 2" xfId="80" xr:uid="{00000000-0005-0000-0000-00004F000000}"/>
    <cellStyle name="60% - Accent5" xfId="81" builtinId="48" customBuiltin="1"/>
    <cellStyle name="60% - Accent5 2" xfId="82" xr:uid="{00000000-0005-0000-0000-000051000000}"/>
    <cellStyle name="60% - Accent6" xfId="83" builtinId="52" customBuiltin="1"/>
    <cellStyle name="60% - Accent6 2" xfId="84" xr:uid="{00000000-0005-0000-0000-000053000000}"/>
    <cellStyle name="Accent1" xfId="85" builtinId="29" customBuiltin="1"/>
    <cellStyle name="Accent1 2" xfId="86" xr:uid="{00000000-0005-0000-0000-000055000000}"/>
    <cellStyle name="Accent2" xfId="87" builtinId="33" customBuiltin="1"/>
    <cellStyle name="Accent2 2" xfId="88" xr:uid="{00000000-0005-0000-0000-000057000000}"/>
    <cellStyle name="Accent3" xfId="89" builtinId="37" customBuiltin="1"/>
    <cellStyle name="Accent3 2" xfId="90" xr:uid="{00000000-0005-0000-0000-000059000000}"/>
    <cellStyle name="Accent4" xfId="91" builtinId="41" customBuiltin="1"/>
    <cellStyle name="Accent4 2" xfId="92" xr:uid="{00000000-0005-0000-0000-00005B000000}"/>
    <cellStyle name="Accent5" xfId="93" builtinId="45" customBuiltin="1"/>
    <cellStyle name="Accent5 2" xfId="94" xr:uid="{00000000-0005-0000-0000-00005D000000}"/>
    <cellStyle name="Accent6" xfId="95" builtinId="49" customBuiltin="1"/>
    <cellStyle name="Accent6 2" xfId="96" xr:uid="{00000000-0005-0000-0000-00005F000000}"/>
    <cellStyle name="Bad" xfId="97" builtinId="27" customBuiltin="1"/>
    <cellStyle name="Bad 2" xfId="98" xr:uid="{00000000-0005-0000-0000-000061000000}"/>
    <cellStyle name="Calculation" xfId="99" builtinId="22" customBuiltin="1"/>
    <cellStyle name="Calculation 2" xfId="100" xr:uid="{00000000-0005-0000-0000-000063000000}"/>
    <cellStyle name="Check Cell" xfId="101" builtinId="23" customBuiltin="1"/>
    <cellStyle name="Check Cell 2" xfId="102" xr:uid="{00000000-0005-0000-0000-000065000000}"/>
    <cellStyle name="Comma 2" xfId="103" xr:uid="{00000000-0005-0000-0000-000066000000}"/>
    <cellStyle name="Comma 2 2" xfId="104" xr:uid="{00000000-0005-0000-0000-000067000000}"/>
    <cellStyle name="Comma 2 3" xfId="105" xr:uid="{00000000-0005-0000-0000-000068000000}"/>
    <cellStyle name="Comma 2 4" xfId="106" xr:uid="{00000000-0005-0000-0000-000069000000}"/>
    <cellStyle name="Comma 3" xfId="107" xr:uid="{00000000-0005-0000-0000-00006A000000}"/>
    <cellStyle name="Comma 4" xfId="108" xr:uid="{00000000-0005-0000-0000-00006B000000}"/>
    <cellStyle name="Comma 5" xfId="109" xr:uid="{00000000-0005-0000-0000-00006C000000}"/>
    <cellStyle name="Comma 6" xfId="110" xr:uid="{00000000-0005-0000-0000-00006D000000}"/>
    <cellStyle name="Comma 7" xfId="111" xr:uid="{00000000-0005-0000-0000-00006E000000}"/>
    <cellStyle name="Explanatory Text" xfId="112" builtinId="53" customBuiltin="1"/>
    <cellStyle name="Explanatory Text 2" xfId="113" xr:uid="{00000000-0005-0000-0000-000070000000}"/>
    <cellStyle name="Good" xfId="114" builtinId="26" customBuiltin="1"/>
    <cellStyle name="Good 2" xfId="115" xr:uid="{00000000-0005-0000-0000-000072000000}"/>
    <cellStyle name="Heading 1" xfId="116" builtinId="16" customBuiltin="1"/>
    <cellStyle name="Heading 1 2" xfId="117" xr:uid="{00000000-0005-0000-0000-000074000000}"/>
    <cellStyle name="Heading 2" xfId="118" builtinId="17" customBuiltin="1"/>
    <cellStyle name="Heading 2 2" xfId="119" xr:uid="{00000000-0005-0000-0000-000076000000}"/>
    <cellStyle name="Heading 3" xfId="120" builtinId="18" customBuiltin="1"/>
    <cellStyle name="Heading 3 2" xfId="121" xr:uid="{00000000-0005-0000-0000-000078000000}"/>
    <cellStyle name="Heading 4" xfId="122" builtinId="19" customBuiltin="1"/>
    <cellStyle name="Heading 4 2" xfId="123" xr:uid="{00000000-0005-0000-0000-00007A000000}"/>
    <cellStyle name="Input" xfId="124" builtinId="20" customBuiltin="1"/>
    <cellStyle name="Input 2" xfId="125" xr:uid="{00000000-0005-0000-0000-00007C000000}"/>
    <cellStyle name="Linked Cell" xfId="126" builtinId="24" customBuiltin="1"/>
    <cellStyle name="Linked Cell 2" xfId="127" xr:uid="{00000000-0005-0000-0000-00007E000000}"/>
    <cellStyle name="Neutral" xfId="128" builtinId="28" customBuiltin="1"/>
    <cellStyle name="Neutral 2" xfId="129" xr:uid="{00000000-0005-0000-0000-000080000000}"/>
    <cellStyle name="Normal" xfId="0" builtinId="0"/>
    <cellStyle name="Normal 2" xfId="130" xr:uid="{00000000-0005-0000-0000-000082000000}"/>
    <cellStyle name="Normal 2 2" xfId="131" xr:uid="{00000000-0005-0000-0000-000083000000}"/>
    <cellStyle name="Normal 2 2 2" xfId="132" xr:uid="{00000000-0005-0000-0000-000084000000}"/>
    <cellStyle name="Normal 2 3" xfId="133" xr:uid="{00000000-0005-0000-0000-000085000000}"/>
    <cellStyle name="Normal 2 4" xfId="134" xr:uid="{00000000-0005-0000-0000-000086000000}"/>
    <cellStyle name="Normal 2 5" xfId="135" xr:uid="{00000000-0005-0000-0000-000087000000}"/>
    <cellStyle name="Normal 2 6" xfId="136" xr:uid="{00000000-0005-0000-0000-000088000000}"/>
    <cellStyle name="Normal 3" xfId="137" xr:uid="{00000000-0005-0000-0000-000089000000}"/>
    <cellStyle name="Normal 3 2" xfId="138" xr:uid="{00000000-0005-0000-0000-00008A000000}"/>
    <cellStyle name="Normal 3 3" xfId="139" xr:uid="{00000000-0005-0000-0000-00008B000000}"/>
    <cellStyle name="Normal 3 4" xfId="140" xr:uid="{00000000-0005-0000-0000-00008C000000}"/>
    <cellStyle name="Normal 4" xfId="141" xr:uid="{00000000-0005-0000-0000-00008D000000}"/>
    <cellStyle name="Normal 5" xfId="142" xr:uid="{00000000-0005-0000-0000-00008E000000}"/>
    <cellStyle name="Normal 6" xfId="143" xr:uid="{00000000-0005-0000-0000-00008F000000}"/>
    <cellStyle name="Normal 7" xfId="144" xr:uid="{00000000-0005-0000-0000-000090000000}"/>
    <cellStyle name="Normal 8" xfId="145" xr:uid="{00000000-0005-0000-0000-000091000000}"/>
    <cellStyle name="Note" xfId="146" builtinId="10" customBuiltin="1"/>
    <cellStyle name="Note 2" xfId="147" xr:uid="{00000000-0005-0000-0000-000093000000}"/>
    <cellStyle name="Note 2 2" xfId="148" xr:uid="{00000000-0005-0000-0000-000094000000}"/>
    <cellStyle name="Note 2 3" xfId="149" xr:uid="{00000000-0005-0000-0000-000095000000}"/>
    <cellStyle name="Note 2 4" xfId="150" xr:uid="{00000000-0005-0000-0000-000096000000}"/>
    <cellStyle name="Note 3" xfId="151" xr:uid="{00000000-0005-0000-0000-000097000000}"/>
    <cellStyle name="Note 4" xfId="152" xr:uid="{00000000-0005-0000-0000-000098000000}"/>
    <cellStyle name="Output" xfId="153" builtinId="21" customBuiltin="1"/>
    <cellStyle name="Output 2" xfId="154" xr:uid="{00000000-0005-0000-0000-00009A000000}"/>
    <cellStyle name="Percent 2" xfId="155" xr:uid="{00000000-0005-0000-0000-00009B000000}"/>
    <cellStyle name="Percent 3" xfId="156" xr:uid="{00000000-0005-0000-0000-00009C000000}"/>
    <cellStyle name="Percent 4" xfId="157" xr:uid="{00000000-0005-0000-0000-00009D000000}"/>
    <cellStyle name="Title" xfId="158" builtinId="15" customBuiltin="1"/>
    <cellStyle name="Title 2" xfId="159" xr:uid="{00000000-0005-0000-0000-00009F000000}"/>
    <cellStyle name="Total" xfId="160" builtinId="25" customBuiltin="1"/>
    <cellStyle name="Total 2" xfId="161" xr:uid="{00000000-0005-0000-0000-0000A1000000}"/>
    <cellStyle name="Warning Text" xfId="162" builtinId="11" customBuiltin="1"/>
    <cellStyle name="Warning Text 2" xfId="163" xr:uid="{00000000-0005-0000-0000-0000A3000000}"/>
  </cellStyles>
  <dxfs count="5">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357D91"/>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chartsheet" Target="chartsheets/sheet2.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9"/>
    </mc:Choice>
    <mc:Fallback>
      <c:style val="29"/>
    </mc:Fallback>
  </mc:AlternateContent>
  <c:chart>
    <c:title>
      <c:tx>
        <c:strRef>
          <c:f>'create graphs here!'!$B$3</c:f>
          <c:strCache>
            <c:ptCount val="1"/>
            <c:pt idx="0">
              <c:v>Gunpowder River (Oligohaline)</c:v>
            </c:pt>
          </c:strCache>
        </c:strRef>
      </c:tx>
      <c:overlay val="0"/>
      <c:txPr>
        <a:bodyPr/>
        <a:lstStyle/>
        <a:p>
          <a:pPr>
            <a:defRPr sz="2400"/>
          </a:pPr>
          <a:endParaRPr lang="en-US"/>
        </a:p>
      </c:txPr>
    </c:title>
    <c:autoTitleDeleted val="0"/>
    <c:plotArea>
      <c:layout>
        <c:manualLayout>
          <c:layoutTarget val="inner"/>
          <c:xMode val="edge"/>
          <c:yMode val="edge"/>
          <c:x val="0.11406967406718518"/>
          <c:y val="0.10236959609906528"/>
          <c:w val="0.87259503160601204"/>
          <c:h val="0.74257424165966168"/>
        </c:manualLayout>
      </c:layout>
      <c:barChart>
        <c:barDir val="col"/>
        <c:grouping val="clustered"/>
        <c:varyColors val="0"/>
        <c:ser>
          <c:idx val="1"/>
          <c:order val="0"/>
          <c:tx>
            <c:strRef>
              <c:f>'create graphs here!'!$B$3</c:f>
              <c:strCache>
                <c:ptCount val="1"/>
                <c:pt idx="0">
                  <c:v>Gunpowder River (Oligohaline)</c:v>
                </c:pt>
              </c:strCache>
            </c:strRef>
          </c:tx>
          <c:invertIfNegative val="0"/>
          <c:dLbls>
            <c:delete val="1"/>
          </c:dLbls>
          <c:cat>
            <c:numRef>
              <c:f>'create graphs here!'!$C$2:$AP$2</c:f>
              <c:numCache>
                <c:formatCode>General</c:formatCode>
                <c:ptCount val="40"/>
                <c:pt idx="0">
                  <c:v>1984</c:v>
                </c:pt>
                <c:pt idx="1">
                  <c:v>1985</c:v>
                </c:pt>
                <c:pt idx="2">
                  <c:v>1986</c:v>
                </c:pt>
                <c:pt idx="3">
                  <c:v>1987</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numCache>
            </c:numRef>
          </c:cat>
          <c:val>
            <c:numRef>
              <c:f>'create graphs here!'!$C$3:$AN$3</c:f>
              <c:numCache>
                <c:formatCode>General</c:formatCode>
                <c:ptCount val="38"/>
                <c:pt idx="0">
                  <c:v>0</c:v>
                </c:pt>
                <c:pt idx="1">
                  <c:v>117.92089199999999</c:v>
                </c:pt>
                <c:pt idx="2">
                  <c:v>0</c:v>
                </c:pt>
                <c:pt idx="3">
                  <c:v>88.317114000000004</c:v>
                </c:pt>
                <c:pt idx="4">
                  <c:v>60.665504999999996</c:v>
                </c:pt>
                <c:pt idx="5">
                  <c:v>213.848994</c:v>
                </c:pt>
                <c:pt idx="6">
                  <c:v>201.76531499999996</c:v>
                </c:pt>
                <c:pt idx="7">
                  <c:v>311.556288</c:v>
                </c:pt>
                <c:pt idx="8">
                  <c:v>115.15325999999999</c:v>
                </c:pt>
                <c:pt idx="9">
                  <c:v>220.54567499999996</c:v>
                </c:pt>
                <c:pt idx="10">
                  <c:v>168.65257499999998</c:v>
                </c:pt>
                <c:pt idx="11">
                  <c:v>918.90324599999997</c:v>
                </c:pt>
                <c:pt idx="12">
                  <c:v>1575.029718</c:v>
                </c:pt>
                <c:pt idx="13">
                  <c:v>2151.6361919999999</c:v>
                </c:pt>
                <c:pt idx="14">
                  <c:v>307.75079399999998</c:v>
                </c:pt>
                <c:pt idx="15">
                  <c:v>2433.0450599999999</c:v>
                </c:pt>
                <c:pt idx="16">
                  <c:v>0</c:v>
                </c:pt>
                <c:pt idx="17">
                  <c:v>463.08413999999999</c:v>
                </c:pt>
                <c:pt idx="18">
                  <c:v>489.154245</c:v>
                </c:pt>
                <c:pt idx="19">
                  <c:v>2391.0363600000001</c:v>
                </c:pt>
                <c:pt idx="20">
                  <c:v>1733.0318520000001</c:v>
                </c:pt>
                <c:pt idx="21">
                  <c:v>842.81807700000002</c:v>
                </c:pt>
                <c:pt idx="22">
                  <c:v>1464.6209699999999</c:v>
                </c:pt>
                <c:pt idx="23">
                  <c:v>1719.2925359999999</c:v>
                </c:pt>
                <c:pt idx="24">
                  <c:v>1887.6732899999997</c:v>
                </c:pt>
                <c:pt idx="25">
                  <c:v>1729.9676879999997</c:v>
                </c:pt>
                <c:pt idx="26">
                  <c:v>1386.0647009999998</c:v>
                </c:pt>
                <c:pt idx="27">
                  <c:v>770.66195700000003</c:v>
                </c:pt>
                <c:pt idx="28">
                  <c:v>799.07960700000001</c:v>
                </c:pt>
                <c:pt idx="29">
                  <c:v>916.50627899999995</c:v>
                </c:pt>
                <c:pt idx="30">
                  <c:v>1236.4148849999999</c:v>
                </c:pt>
                <c:pt idx="31">
                  <c:v>920.28706199999988</c:v>
                </c:pt>
                <c:pt idx="32">
                  <c:v>1219.3148729999998</c:v>
                </c:pt>
                <c:pt idx="33">
                  <c:v>1514.092392</c:v>
                </c:pt>
                <c:pt idx="34">
                  <c:v>2038.6574999999998</c:v>
                </c:pt>
                <c:pt idx="35">
                  <c:v>2137.4273670000002</c:v>
                </c:pt>
                <c:pt idx="36">
                  <c:v>2164.0905359999997</c:v>
                </c:pt>
                <c:pt idx="37">
                  <c:v>1285.9604399999998</c:v>
                </c:pt>
              </c:numCache>
            </c:numRef>
          </c:val>
          <c:extLst>
            <c:ext xmlns:c16="http://schemas.microsoft.com/office/drawing/2014/chart" uri="{C3380CC4-5D6E-409C-BE32-E72D297353CC}">
              <c16:uniqueId val="{00000000-CE02-40C0-8B1B-81A4CFE22834}"/>
            </c:ext>
          </c:extLst>
        </c:ser>
        <c:dLbls>
          <c:showLegendKey val="0"/>
          <c:showVal val="1"/>
          <c:showCatName val="0"/>
          <c:showSerName val="0"/>
          <c:showPercent val="0"/>
          <c:showBubbleSize val="0"/>
        </c:dLbls>
        <c:gapWidth val="0"/>
        <c:axId val="62415616"/>
        <c:axId val="62417152"/>
      </c:barChart>
      <c:lineChart>
        <c:grouping val="standard"/>
        <c:varyColors val="0"/>
        <c:ser>
          <c:idx val="2"/>
          <c:order val="1"/>
          <c:tx>
            <c:strRef>
              <c:f>'create graphs here!'!$B$4</c:f>
              <c:strCache>
                <c:ptCount val="1"/>
                <c:pt idx="0">
                  <c:v>Restoration Goal</c:v>
                </c:pt>
              </c:strCache>
            </c:strRef>
          </c:tx>
          <c:spPr>
            <a:ln w="38100" cap="flat" cmpd="sng" algn="ctr">
              <a:solidFill>
                <a:srgbClr val="357D91"/>
              </a:solidFill>
              <a:prstDash val="soli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CE02-40C0-8B1B-81A4CFE22834}"/>
                </c:ext>
              </c:extLst>
            </c:dLbl>
            <c:dLbl>
              <c:idx val="1"/>
              <c:delete val="1"/>
              <c:extLst>
                <c:ext xmlns:c15="http://schemas.microsoft.com/office/drawing/2012/chart" uri="{CE6537A1-D6FC-4f65-9D91-7224C49458BB}"/>
                <c:ext xmlns:c16="http://schemas.microsoft.com/office/drawing/2014/chart" uri="{C3380CC4-5D6E-409C-BE32-E72D297353CC}">
                  <c16:uniqueId val="{00000002-CE02-40C0-8B1B-81A4CFE22834}"/>
                </c:ext>
              </c:extLst>
            </c:dLbl>
            <c:dLbl>
              <c:idx val="2"/>
              <c:layout>
                <c:manualLayout>
                  <c:x val="-5.2886274667670728E-2"/>
                  <c:y val="-3.1436777197586092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CE02-40C0-8B1B-81A4CFE22834}"/>
                </c:ext>
              </c:extLst>
            </c:dLbl>
            <c:dLbl>
              <c:idx val="3"/>
              <c:delete val="1"/>
              <c:extLst>
                <c:ext xmlns:c15="http://schemas.microsoft.com/office/drawing/2012/chart" uri="{CE6537A1-D6FC-4f65-9D91-7224C49458BB}"/>
                <c:ext xmlns:c16="http://schemas.microsoft.com/office/drawing/2014/chart" uri="{C3380CC4-5D6E-409C-BE32-E72D297353CC}">
                  <c16:uniqueId val="{00000004-CE02-40C0-8B1B-81A4CFE22834}"/>
                </c:ext>
              </c:extLst>
            </c:dLbl>
            <c:dLbl>
              <c:idx val="4"/>
              <c:delete val="1"/>
              <c:extLst>
                <c:ext xmlns:c15="http://schemas.microsoft.com/office/drawing/2012/chart" uri="{CE6537A1-D6FC-4f65-9D91-7224C49458BB}"/>
                <c:ext xmlns:c16="http://schemas.microsoft.com/office/drawing/2014/chart" uri="{C3380CC4-5D6E-409C-BE32-E72D297353CC}">
                  <c16:uniqueId val="{00000005-CE02-40C0-8B1B-81A4CFE22834}"/>
                </c:ext>
              </c:extLst>
            </c:dLbl>
            <c:dLbl>
              <c:idx val="5"/>
              <c:delete val="1"/>
              <c:extLst>
                <c:ext xmlns:c15="http://schemas.microsoft.com/office/drawing/2012/chart" uri="{CE6537A1-D6FC-4f65-9D91-7224C49458BB}"/>
                <c:ext xmlns:c16="http://schemas.microsoft.com/office/drawing/2014/chart" uri="{C3380CC4-5D6E-409C-BE32-E72D297353CC}">
                  <c16:uniqueId val="{00000006-CE02-40C0-8B1B-81A4CFE22834}"/>
                </c:ext>
              </c:extLst>
            </c:dLbl>
            <c:dLbl>
              <c:idx val="6"/>
              <c:delete val="1"/>
              <c:extLst>
                <c:ext xmlns:c15="http://schemas.microsoft.com/office/drawing/2012/chart" uri="{CE6537A1-D6FC-4f65-9D91-7224C49458BB}"/>
                <c:ext xmlns:c16="http://schemas.microsoft.com/office/drawing/2014/chart" uri="{C3380CC4-5D6E-409C-BE32-E72D297353CC}">
                  <c16:uniqueId val="{00000007-CE02-40C0-8B1B-81A4CFE22834}"/>
                </c:ext>
              </c:extLst>
            </c:dLbl>
            <c:dLbl>
              <c:idx val="7"/>
              <c:delete val="1"/>
              <c:extLst>
                <c:ext xmlns:c15="http://schemas.microsoft.com/office/drawing/2012/chart" uri="{CE6537A1-D6FC-4f65-9D91-7224C49458BB}"/>
                <c:ext xmlns:c16="http://schemas.microsoft.com/office/drawing/2014/chart" uri="{C3380CC4-5D6E-409C-BE32-E72D297353CC}">
                  <c16:uniqueId val="{00000008-CE02-40C0-8B1B-81A4CFE22834}"/>
                </c:ext>
              </c:extLst>
            </c:dLbl>
            <c:dLbl>
              <c:idx val="8"/>
              <c:delete val="1"/>
              <c:extLst>
                <c:ext xmlns:c15="http://schemas.microsoft.com/office/drawing/2012/chart" uri="{CE6537A1-D6FC-4f65-9D91-7224C49458BB}"/>
                <c:ext xmlns:c16="http://schemas.microsoft.com/office/drawing/2014/chart" uri="{C3380CC4-5D6E-409C-BE32-E72D297353CC}">
                  <c16:uniqueId val="{00000009-CE02-40C0-8B1B-81A4CFE22834}"/>
                </c:ext>
              </c:extLst>
            </c:dLbl>
            <c:dLbl>
              <c:idx val="9"/>
              <c:delete val="1"/>
              <c:extLst>
                <c:ext xmlns:c15="http://schemas.microsoft.com/office/drawing/2012/chart" uri="{CE6537A1-D6FC-4f65-9D91-7224C49458BB}"/>
                <c:ext xmlns:c16="http://schemas.microsoft.com/office/drawing/2014/chart" uri="{C3380CC4-5D6E-409C-BE32-E72D297353CC}">
                  <c16:uniqueId val="{0000000A-CE02-40C0-8B1B-81A4CFE22834}"/>
                </c:ext>
              </c:extLst>
            </c:dLbl>
            <c:dLbl>
              <c:idx val="10"/>
              <c:delete val="1"/>
              <c:extLst>
                <c:ext xmlns:c15="http://schemas.microsoft.com/office/drawing/2012/chart" uri="{CE6537A1-D6FC-4f65-9D91-7224C49458BB}"/>
                <c:ext xmlns:c16="http://schemas.microsoft.com/office/drawing/2014/chart" uri="{C3380CC4-5D6E-409C-BE32-E72D297353CC}">
                  <c16:uniqueId val="{0000000B-CE02-40C0-8B1B-81A4CFE22834}"/>
                </c:ext>
              </c:extLst>
            </c:dLbl>
            <c:dLbl>
              <c:idx val="11"/>
              <c:delete val="1"/>
              <c:extLst>
                <c:ext xmlns:c15="http://schemas.microsoft.com/office/drawing/2012/chart" uri="{CE6537A1-D6FC-4f65-9D91-7224C49458BB}"/>
                <c:ext xmlns:c16="http://schemas.microsoft.com/office/drawing/2014/chart" uri="{C3380CC4-5D6E-409C-BE32-E72D297353CC}">
                  <c16:uniqueId val="{0000000C-CE02-40C0-8B1B-81A4CFE22834}"/>
                </c:ext>
              </c:extLst>
            </c:dLbl>
            <c:dLbl>
              <c:idx val="12"/>
              <c:delete val="1"/>
              <c:extLst>
                <c:ext xmlns:c15="http://schemas.microsoft.com/office/drawing/2012/chart" uri="{CE6537A1-D6FC-4f65-9D91-7224C49458BB}"/>
                <c:ext xmlns:c16="http://schemas.microsoft.com/office/drawing/2014/chart" uri="{C3380CC4-5D6E-409C-BE32-E72D297353CC}">
                  <c16:uniqueId val="{0000000D-CE02-40C0-8B1B-81A4CFE22834}"/>
                </c:ext>
              </c:extLst>
            </c:dLbl>
            <c:dLbl>
              <c:idx val="13"/>
              <c:delete val="1"/>
              <c:extLst>
                <c:ext xmlns:c15="http://schemas.microsoft.com/office/drawing/2012/chart" uri="{CE6537A1-D6FC-4f65-9D91-7224C49458BB}"/>
                <c:ext xmlns:c16="http://schemas.microsoft.com/office/drawing/2014/chart" uri="{C3380CC4-5D6E-409C-BE32-E72D297353CC}">
                  <c16:uniqueId val="{0000000E-CE02-40C0-8B1B-81A4CFE22834}"/>
                </c:ext>
              </c:extLst>
            </c:dLbl>
            <c:dLbl>
              <c:idx val="14"/>
              <c:delete val="1"/>
              <c:extLst>
                <c:ext xmlns:c15="http://schemas.microsoft.com/office/drawing/2012/chart" uri="{CE6537A1-D6FC-4f65-9D91-7224C49458BB}"/>
                <c:ext xmlns:c16="http://schemas.microsoft.com/office/drawing/2014/chart" uri="{C3380CC4-5D6E-409C-BE32-E72D297353CC}">
                  <c16:uniqueId val="{0000000F-CE02-40C0-8B1B-81A4CFE22834}"/>
                </c:ext>
              </c:extLst>
            </c:dLbl>
            <c:dLbl>
              <c:idx val="15"/>
              <c:delete val="1"/>
              <c:extLst>
                <c:ext xmlns:c15="http://schemas.microsoft.com/office/drawing/2012/chart" uri="{CE6537A1-D6FC-4f65-9D91-7224C49458BB}"/>
                <c:ext xmlns:c16="http://schemas.microsoft.com/office/drawing/2014/chart" uri="{C3380CC4-5D6E-409C-BE32-E72D297353CC}">
                  <c16:uniqueId val="{00000010-CE02-40C0-8B1B-81A4CFE22834}"/>
                </c:ext>
              </c:extLst>
            </c:dLbl>
            <c:dLbl>
              <c:idx val="16"/>
              <c:delete val="1"/>
              <c:extLst>
                <c:ext xmlns:c15="http://schemas.microsoft.com/office/drawing/2012/chart" uri="{CE6537A1-D6FC-4f65-9D91-7224C49458BB}"/>
                <c:ext xmlns:c16="http://schemas.microsoft.com/office/drawing/2014/chart" uri="{C3380CC4-5D6E-409C-BE32-E72D297353CC}">
                  <c16:uniqueId val="{00000011-CE02-40C0-8B1B-81A4CFE22834}"/>
                </c:ext>
              </c:extLst>
            </c:dLbl>
            <c:dLbl>
              <c:idx val="17"/>
              <c:delete val="1"/>
              <c:extLst>
                <c:ext xmlns:c15="http://schemas.microsoft.com/office/drawing/2012/chart" uri="{CE6537A1-D6FC-4f65-9D91-7224C49458BB}"/>
                <c:ext xmlns:c16="http://schemas.microsoft.com/office/drawing/2014/chart" uri="{C3380CC4-5D6E-409C-BE32-E72D297353CC}">
                  <c16:uniqueId val="{00000012-CE02-40C0-8B1B-81A4CFE22834}"/>
                </c:ext>
              </c:extLst>
            </c:dLbl>
            <c:dLbl>
              <c:idx val="18"/>
              <c:delete val="1"/>
              <c:extLst>
                <c:ext xmlns:c15="http://schemas.microsoft.com/office/drawing/2012/chart" uri="{CE6537A1-D6FC-4f65-9D91-7224C49458BB}"/>
                <c:ext xmlns:c16="http://schemas.microsoft.com/office/drawing/2014/chart" uri="{C3380CC4-5D6E-409C-BE32-E72D297353CC}">
                  <c16:uniqueId val="{00000013-CE02-40C0-8B1B-81A4CFE22834}"/>
                </c:ext>
              </c:extLst>
            </c:dLbl>
            <c:dLbl>
              <c:idx val="19"/>
              <c:delete val="1"/>
              <c:extLst>
                <c:ext xmlns:c15="http://schemas.microsoft.com/office/drawing/2012/chart" uri="{CE6537A1-D6FC-4f65-9D91-7224C49458BB}"/>
                <c:ext xmlns:c16="http://schemas.microsoft.com/office/drawing/2014/chart" uri="{C3380CC4-5D6E-409C-BE32-E72D297353CC}">
                  <c16:uniqueId val="{00000014-CE02-40C0-8B1B-81A4CFE22834}"/>
                </c:ext>
              </c:extLst>
            </c:dLbl>
            <c:dLbl>
              <c:idx val="20"/>
              <c:delete val="1"/>
              <c:extLst>
                <c:ext xmlns:c15="http://schemas.microsoft.com/office/drawing/2012/chart" uri="{CE6537A1-D6FC-4f65-9D91-7224C49458BB}"/>
                <c:ext xmlns:c16="http://schemas.microsoft.com/office/drawing/2014/chart" uri="{C3380CC4-5D6E-409C-BE32-E72D297353CC}">
                  <c16:uniqueId val="{00000015-CE02-40C0-8B1B-81A4CFE22834}"/>
                </c:ext>
              </c:extLst>
            </c:dLbl>
            <c:dLbl>
              <c:idx val="21"/>
              <c:delete val="1"/>
              <c:extLst>
                <c:ext xmlns:c15="http://schemas.microsoft.com/office/drawing/2012/chart" uri="{CE6537A1-D6FC-4f65-9D91-7224C49458BB}"/>
                <c:ext xmlns:c16="http://schemas.microsoft.com/office/drawing/2014/chart" uri="{C3380CC4-5D6E-409C-BE32-E72D297353CC}">
                  <c16:uniqueId val="{00000016-CE02-40C0-8B1B-81A4CFE22834}"/>
                </c:ext>
              </c:extLst>
            </c:dLbl>
            <c:dLbl>
              <c:idx val="22"/>
              <c:delete val="1"/>
              <c:extLst>
                <c:ext xmlns:c15="http://schemas.microsoft.com/office/drawing/2012/chart" uri="{CE6537A1-D6FC-4f65-9D91-7224C49458BB}"/>
                <c:ext xmlns:c16="http://schemas.microsoft.com/office/drawing/2014/chart" uri="{C3380CC4-5D6E-409C-BE32-E72D297353CC}">
                  <c16:uniqueId val="{00000017-CE02-40C0-8B1B-81A4CFE22834}"/>
                </c:ext>
              </c:extLst>
            </c:dLbl>
            <c:dLbl>
              <c:idx val="23"/>
              <c:delete val="1"/>
              <c:extLst>
                <c:ext xmlns:c15="http://schemas.microsoft.com/office/drawing/2012/chart" uri="{CE6537A1-D6FC-4f65-9D91-7224C49458BB}"/>
                <c:ext xmlns:c16="http://schemas.microsoft.com/office/drawing/2014/chart" uri="{C3380CC4-5D6E-409C-BE32-E72D297353CC}">
                  <c16:uniqueId val="{00000018-CE02-40C0-8B1B-81A4CFE22834}"/>
                </c:ext>
              </c:extLst>
            </c:dLbl>
            <c:dLbl>
              <c:idx val="24"/>
              <c:delete val="1"/>
              <c:extLst>
                <c:ext xmlns:c15="http://schemas.microsoft.com/office/drawing/2012/chart" uri="{CE6537A1-D6FC-4f65-9D91-7224C49458BB}"/>
                <c:ext xmlns:c16="http://schemas.microsoft.com/office/drawing/2014/chart" uri="{C3380CC4-5D6E-409C-BE32-E72D297353CC}">
                  <c16:uniqueId val="{00000019-CE02-40C0-8B1B-81A4CFE22834}"/>
                </c:ext>
              </c:extLst>
            </c:dLbl>
            <c:dLbl>
              <c:idx val="25"/>
              <c:delete val="1"/>
              <c:extLst>
                <c:ext xmlns:c15="http://schemas.microsoft.com/office/drawing/2012/chart" uri="{CE6537A1-D6FC-4f65-9D91-7224C49458BB}"/>
                <c:ext xmlns:c16="http://schemas.microsoft.com/office/drawing/2014/chart" uri="{C3380CC4-5D6E-409C-BE32-E72D297353CC}">
                  <c16:uniqueId val="{0000001A-CE02-40C0-8B1B-81A4CFE22834}"/>
                </c:ext>
              </c:extLst>
            </c:dLbl>
            <c:dLbl>
              <c:idx val="26"/>
              <c:delete val="1"/>
              <c:extLst>
                <c:ext xmlns:c15="http://schemas.microsoft.com/office/drawing/2012/chart" uri="{CE6537A1-D6FC-4f65-9D91-7224C49458BB}"/>
                <c:ext xmlns:c16="http://schemas.microsoft.com/office/drawing/2014/chart" uri="{C3380CC4-5D6E-409C-BE32-E72D297353CC}">
                  <c16:uniqueId val="{0000001B-CE02-40C0-8B1B-81A4CFE22834}"/>
                </c:ext>
              </c:extLst>
            </c:dLbl>
            <c:dLbl>
              <c:idx val="27"/>
              <c:delete val="1"/>
              <c:extLst>
                <c:ext xmlns:c15="http://schemas.microsoft.com/office/drawing/2012/chart" uri="{CE6537A1-D6FC-4f65-9D91-7224C49458BB}"/>
                <c:ext xmlns:c16="http://schemas.microsoft.com/office/drawing/2014/chart" uri="{C3380CC4-5D6E-409C-BE32-E72D297353CC}">
                  <c16:uniqueId val="{0000001C-CE02-40C0-8B1B-81A4CFE22834}"/>
                </c:ext>
              </c:extLst>
            </c:dLbl>
            <c:dLbl>
              <c:idx val="28"/>
              <c:delete val="1"/>
              <c:extLst>
                <c:ext xmlns:c15="http://schemas.microsoft.com/office/drawing/2012/chart" uri="{CE6537A1-D6FC-4f65-9D91-7224C49458BB}"/>
                <c:ext xmlns:c16="http://schemas.microsoft.com/office/drawing/2014/chart" uri="{C3380CC4-5D6E-409C-BE32-E72D297353CC}">
                  <c16:uniqueId val="{0000001D-CE02-40C0-8B1B-81A4CFE22834}"/>
                </c:ext>
              </c:extLst>
            </c:dLbl>
            <c:dLbl>
              <c:idx val="29"/>
              <c:delete val="1"/>
              <c:extLst>
                <c:ext xmlns:c15="http://schemas.microsoft.com/office/drawing/2012/chart" uri="{CE6537A1-D6FC-4f65-9D91-7224C49458BB}"/>
                <c:ext xmlns:c16="http://schemas.microsoft.com/office/drawing/2014/chart" uri="{C3380CC4-5D6E-409C-BE32-E72D297353CC}">
                  <c16:uniqueId val="{0000001E-CE02-40C0-8B1B-81A4CFE22834}"/>
                </c:ext>
              </c:extLst>
            </c:dLbl>
            <c:dLbl>
              <c:idx val="30"/>
              <c:delete val="1"/>
              <c:extLst>
                <c:ext xmlns:c15="http://schemas.microsoft.com/office/drawing/2012/chart" uri="{CE6537A1-D6FC-4f65-9D91-7224C49458BB}"/>
                <c:ext xmlns:c16="http://schemas.microsoft.com/office/drawing/2014/chart" uri="{C3380CC4-5D6E-409C-BE32-E72D297353CC}">
                  <c16:uniqueId val="{0000001F-CE02-40C0-8B1B-81A4CFE22834}"/>
                </c:ext>
              </c:extLst>
            </c:dLbl>
            <c:dLbl>
              <c:idx val="31"/>
              <c:delete val="1"/>
              <c:extLst>
                <c:ext xmlns:c15="http://schemas.microsoft.com/office/drawing/2012/chart" uri="{CE6537A1-D6FC-4f65-9D91-7224C49458BB}"/>
                <c:ext xmlns:c16="http://schemas.microsoft.com/office/drawing/2014/chart" uri="{C3380CC4-5D6E-409C-BE32-E72D297353CC}">
                  <c16:uniqueId val="{00000020-CE02-40C0-8B1B-81A4CFE22834}"/>
                </c:ext>
              </c:extLst>
            </c:dLbl>
            <c:dLbl>
              <c:idx val="32"/>
              <c:delete val="1"/>
              <c:extLst>
                <c:ext xmlns:c15="http://schemas.microsoft.com/office/drawing/2012/chart" uri="{CE6537A1-D6FC-4f65-9D91-7224C49458BB}"/>
                <c:ext xmlns:c16="http://schemas.microsoft.com/office/drawing/2014/chart" uri="{C3380CC4-5D6E-409C-BE32-E72D297353CC}">
                  <c16:uniqueId val="{00000021-CE02-40C0-8B1B-81A4CFE22834}"/>
                </c:ext>
              </c:extLst>
            </c:dLbl>
            <c:dLbl>
              <c:idx val="33"/>
              <c:delete val="1"/>
              <c:extLst>
                <c:ext xmlns:c15="http://schemas.microsoft.com/office/drawing/2012/chart" uri="{CE6537A1-D6FC-4f65-9D91-7224C49458BB}"/>
                <c:ext xmlns:c16="http://schemas.microsoft.com/office/drawing/2014/chart" uri="{C3380CC4-5D6E-409C-BE32-E72D297353CC}">
                  <c16:uniqueId val="{00000000-F310-4C8E-B147-014689AC0088}"/>
                </c:ext>
              </c:extLst>
            </c:dLbl>
            <c:dLbl>
              <c:idx val="34"/>
              <c:delete val="1"/>
              <c:extLst>
                <c:ext xmlns:c15="http://schemas.microsoft.com/office/drawing/2012/chart" uri="{CE6537A1-D6FC-4f65-9D91-7224C49458BB}"/>
                <c:ext xmlns:c16="http://schemas.microsoft.com/office/drawing/2014/chart" uri="{C3380CC4-5D6E-409C-BE32-E72D297353CC}">
                  <c16:uniqueId val="{00000000-A5B6-4ADD-8DAB-FB0B6E70C0D3}"/>
                </c:ext>
              </c:extLst>
            </c:dLbl>
            <c:dLbl>
              <c:idx val="35"/>
              <c:delete val="1"/>
              <c:extLst>
                <c:ext xmlns:c15="http://schemas.microsoft.com/office/drawing/2012/chart" uri="{CE6537A1-D6FC-4f65-9D91-7224C49458BB}"/>
                <c:ext xmlns:c16="http://schemas.microsoft.com/office/drawing/2014/chart" uri="{C3380CC4-5D6E-409C-BE32-E72D297353CC}">
                  <c16:uniqueId val="{00000000-C5FE-4880-BE52-D6EAD8A8BB43}"/>
                </c:ext>
              </c:extLst>
            </c:dLbl>
            <c:dLbl>
              <c:idx val="36"/>
              <c:delete val="1"/>
              <c:extLst>
                <c:ext xmlns:c15="http://schemas.microsoft.com/office/drawing/2012/chart" uri="{CE6537A1-D6FC-4f65-9D91-7224C49458BB}"/>
                <c:ext xmlns:c16="http://schemas.microsoft.com/office/drawing/2014/chart" uri="{C3380CC4-5D6E-409C-BE32-E72D297353CC}">
                  <c16:uniqueId val="{00000000-21C8-49E6-BD2D-4C1903AFBBA1}"/>
                </c:ext>
              </c:extLst>
            </c:dLbl>
            <c:dLbl>
              <c:idx val="37"/>
              <c:delete val="1"/>
              <c:extLst>
                <c:ext xmlns:c15="http://schemas.microsoft.com/office/drawing/2012/chart" uri="{CE6537A1-D6FC-4f65-9D91-7224C49458BB}"/>
                <c:ext xmlns:c16="http://schemas.microsoft.com/office/drawing/2014/chart" uri="{C3380CC4-5D6E-409C-BE32-E72D297353CC}">
                  <c16:uniqueId val="{00000000-D9A6-43E3-9A81-DD6D8FF5B7E4}"/>
                </c:ext>
              </c:extLst>
            </c:dLbl>
            <c:numFmt formatCode="General" sourceLinked="0"/>
            <c:spPr>
              <a:noFill/>
              <a:ln>
                <a:noFill/>
              </a:ln>
              <a:effectLst/>
            </c:spPr>
            <c:txPr>
              <a:bodyPr vertOverflow="clip" horzOverflow="clip"/>
              <a:lstStyle/>
              <a:p>
                <a:pPr>
                  <a:defRPr sz="1600" b="1">
                    <a:solidFill>
                      <a:srgbClr val="357D91"/>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'create graphs here!'!$C$2:$AL$2</c:f>
              <c:numCache>
                <c:formatCode>General</c:formatCode>
                <c:ptCount val="36"/>
                <c:pt idx="0">
                  <c:v>1984</c:v>
                </c:pt>
                <c:pt idx="1">
                  <c:v>1985</c:v>
                </c:pt>
                <c:pt idx="2">
                  <c:v>1986</c:v>
                </c:pt>
                <c:pt idx="3">
                  <c:v>1987</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numCache>
            </c:numRef>
          </c:cat>
          <c:val>
            <c:numRef>
              <c:f>'create graphs here!'!$C$4:$AN$4</c:f>
              <c:numCache>
                <c:formatCode>General</c:formatCode>
                <c:ptCount val="38"/>
                <c:pt idx="0">
                  <c:v>2432</c:v>
                </c:pt>
                <c:pt idx="1">
                  <c:v>2432</c:v>
                </c:pt>
                <c:pt idx="2">
                  <c:v>2432</c:v>
                </c:pt>
                <c:pt idx="3">
                  <c:v>2432</c:v>
                </c:pt>
                <c:pt idx="4">
                  <c:v>2432</c:v>
                </c:pt>
                <c:pt idx="5">
                  <c:v>2432</c:v>
                </c:pt>
                <c:pt idx="6">
                  <c:v>2432</c:v>
                </c:pt>
                <c:pt idx="7">
                  <c:v>2432</c:v>
                </c:pt>
                <c:pt idx="8">
                  <c:v>2432</c:v>
                </c:pt>
                <c:pt idx="9">
                  <c:v>2432</c:v>
                </c:pt>
                <c:pt idx="10">
                  <c:v>2432</c:v>
                </c:pt>
                <c:pt idx="11">
                  <c:v>2432</c:v>
                </c:pt>
                <c:pt idx="12">
                  <c:v>2432</c:v>
                </c:pt>
                <c:pt idx="13">
                  <c:v>2432</c:v>
                </c:pt>
                <c:pt idx="14">
                  <c:v>2432</c:v>
                </c:pt>
                <c:pt idx="15">
                  <c:v>2432</c:v>
                </c:pt>
                <c:pt idx="16">
                  <c:v>2432</c:v>
                </c:pt>
                <c:pt idx="17">
                  <c:v>2432</c:v>
                </c:pt>
                <c:pt idx="18">
                  <c:v>2432</c:v>
                </c:pt>
                <c:pt idx="19">
                  <c:v>2432</c:v>
                </c:pt>
                <c:pt idx="20">
                  <c:v>2432</c:v>
                </c:pt>
                <c:pt idx="21">
                  <c:v>2432</c:v>
                </c:pt>
                <c:pt idx="22">
                  <c:v>2432</c:v>
                </c:pt>
                <c:pt idx="23">
                  <c:v>2432</c:v>
                </c:pt>
                <c:pt idx="24">
                  <c:v>2432</c:v>
                </c:pt>
                <c:pt idx="25">
                  <c:v>2432</c:v>
                </c:pt>
                <c:pt idx="26">
                  <c:v>2432</c:v>
                </c:pt>
                <c:pt idx="27">
                  <c:v>2432</c:v>
                </c:pt>
                <c:pt idx="28">
                  <c:v>2432</c:v>
                </c:pt>
                <c:pt idx="29">
                  <c:v>2432</c:v>
                </c:pt>
                <c:pt idx="30">
                  <c:v>2432</c:v>
                </c:pt>
                <c:pt idx="31">
                  <c:v>2432</c:v>
                </c:pt>
                <c:pt idx="32">
                  <c:v>2432</c:v>
                </c:pt>
                <c:pt idx="33">
                  <c:v>2432</c:v>
                </c:pt>
                <c:pt idx="34">
                  <c:v>2432</c:v>
                </c:pt>
                <c:pt idx="35">
                  <c:v>2432</c:v>
                </c:pt>
                <c:pt idx="36">
                  <c:v>2432</c:v>
                </c:pt>
                <c:pt idx="37">
                  <c:v>2432</c:v>
                </c:pt>
              </c:numCache>
            </c:numRef>
          </c:val>
          <c:smooth val="0"/>
          <c:extLst>
            <c:ext xmlns:c16="http://schemas.microsoft.com/office/drawing/2014/chart" uri="{C3380CC4-5D6E-409C-BE32-E72D297353CC}">
              <c16:uniqueId val="{00000022-CE02-40C0-8B1B-81A4CFE22834}"/>
            </c:ext>
          </c:extLst>
        </c:ser>
        <c:dLbls>
          <c:showLegendKey val="0"/>
          <c:showVal val="1"/>
          <c:showCatName val="0"/>
          <c:showSerName val="0"/>
          <c:showPercent val="0"/>
          <c:showBubbleSize val="0"/>
        </c:dLbls>
        <c:marker val="1"/>
        <c:smooth val="0"/>
        <c:axId val="62415616"/>
        <c:axId val="62417152"/>
      </c:lineChart>
      <c:catAx>
        <c:axId val="62415616"/>
        <c:scaling>
          <c:orientation val="minMax"/>
        </c:scaling>
        <c:delete val="0"/>
        <c:axPos val="b"/>
        <c:numFmt formatCode="General" sourceLinked="1"/>
        <c:majorTickMark val="none"/>
        <c:minorTickMark val="none"/>
        <c:tickLblPos val="nextTo"/>
        <c:txPr>
          <a:bodyPr rot="-2700000"/>
          <a:lstStyle/>
          <a:p>
            <a:pPr>
              <a:defRPr sz="1400"/>
            </a:pPr>
            <a:endParaRPr lang="en-US"/>
          </a:p>
        </c:txPr>
        <c:crossAx val="62417152"/>
        <c:crossesAt val="0"/>
        <c:auto val="1"/>
        <c:lblAlgn val="ctr"/>
        <c:lblOffset val="100"/>
        <c:noMultiLvlLbl val="0"/>
      </c:catAx>
      <c:valAx>
        <c:axId val="62417152"/>
        <c:scaling>
          <c:orientation val="minMax"/>
          <c:min val="0"/>
        </c:scaling>
        <c:delete val="0"/>
        <c:axPos val="l"/>
        <c:majorGridlines>
          <c:spPr>
            <a:ln>
              <a:noFill/>
            </a:ln>
          </c:spPr>
        </c:majorGridlines>
        <c:title>
          <c:tx>
            <c:rich>
              <a:bodyPr rot="-5400000" vert="horz"/>
              <a:lstStyle/>
              <a:p>
                <a:pPr>
                  <a:defRPr sz="1800"/>
                </a:pPr>
                <a:r>
                  <a:rPr lang="en-US" sz="1800"/>
                  <a:t>Abundance (Acres)</a:t>
                </a:r>
              </a:p>
            </c:rich>
          </c:tx>
          <c:overlay val="0"/>
        </c:title>
        <c:numFmt formatCode="#,##0" sourceLinked="0"/>
        <c:majorTickMark val="out"/>
        <c:minorTickMark val="none"/>
        <c:tickLblPos val="nextTo"/>
        <c:txPr>
          <a:bodyPr/>
          <a:lstStyle/>
          <a:p>
            <a:pPr>
              <a:defRPr sz="1400"/>
            </a:pPr>
            <a:endParaRPr lang="en-US"/>
          </a:p>
        </c:txPr>
        <c:crossAx val="62415616"/>
        <c:crosses val="autoZero"/>
        <c:crossBetween val="between"/>
      </c:valAx>
      <c:spPr>
        <a:ln>
          <a:noFill/>
        </a:ln>
      </c:spPr>
    </c:plotArea>
    <c:plotVisOnly val="1"/>
    <c:dispBlanksAs val="gap"/>
    <c:showDLblsOverMax val="0"/>
  </c:chart>
  <c:spPr>
    <a:noFill/>
    <a:ln>
      <a:noFill/>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9"/>
    </mc:Choice>
    <mc:Fallback>
      <c:style val="29"/>
    </mc:Fallback>
  </mc:AlternateContent>
  <c:chart>
    <c:title>
      <c:tx>
        <c:strRef>
          <c:f>'create graphs here!'!$B$3</c:f>
          <c:strCache>
            <c:ptCount val="1"/>
            <c:pt idx="0">
              <c:v>Gunpowder River (Oligohaline)</c:v>
            </c:pt>
          </c:strCache>
        </c:strRef>
      </c:tx>
      <c:overlay val="0"/>
      <c:txPr>
        <a:bodyPr/>
        <a:lstStyle/>
        <a:p>
          <a:pPr>
            <a:defRPr sz="2000"/>
          </a:pPr>
          <a:endParaRPr lang="en-US"/>
        </a:p>
      </c:txPr>
    </c:title>
    <c:autoTitleDeleted val="0"/>
    <c:plotArea>
      <c:layout>
        <c:manualLayout>
          <c:layoutTarget val="inner"/>
          <c:xMode val="edge"/>
          <c:yMode val="edge"/>
          <c:x val="0.13176923880699837"/>
          <c:y val="0.10236959609906528"/>
          <c:w val="0.84818343995987766"/>
          <c:h val="0.74257424165966168"/>
        </c:manualLayout>
      </c:layout>
      <c:barChart>
        <c:barDir val="col"/>
        <c:grouping val="clustered"/>
        <c:varyColors val="0"/>
        <c:ser>
          <c:idx val="1"/>
          <c:order val="0"/>
          <c:tx>
            <c:strRef>
              <c:f>'create graphs here!'!$B$3</c:f>
              <c:strCache>
                <c:ptCount val="1"/>
                <c:pt idx="0">
                  <c:v>Gunpowder River (Oligohaline)</c:v>
                </c:pt>
              </c:strCache>
            </c:strRef>
          </c:tx>
          <c:invertIfNegative val="0"/>
          <c:dLbls>
            <c:delete val="1"/>
          </c:dLbls>
          <c:cat>
            <c:numRef>
              <c:f>'create graphs here!'!$C$2:$AP$2</c:f>
              <c:numCache>
                <c:formatCode>General</c:formatCode>
                <c:ptCount val="40"/>
                <c:pt idx="0">
                  <c:v>1984</c:v>
                </c:pt>
                <c:pt idx="1">
                  <c:v>1985</c:v>
                </c:pt>
                <c:pt idx="2">
                  <c:v>1986</c:v>
                </c:pt>
                <c:pt idx="3">
                  <c:v>1987</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numCache>
            </c:numRef>
          </c:cat>
          <c:val>
            <c:numRef>
              <c:f>'create graphs here!'!$C$3:$AP$3</c:f>
              <c:numCache>
                <c:formatCode>General</c:formatCode>
                <c:ptCount val="40"/>
                <c:pt idx="0">
                  <c:v>0</c:v>
                </c:pt>
                <c:pt idx="1">
                  <c:v>117.92089199999999</c:v>
                </c:pt>
                <c:pt idx="2">
                  <c:v>0</c:v>
                </c:pt>
                <c:pt idx="3">
                  <c:v>88.317114000000004</c:v>
                </c:pt>
                <c:pt idx="4">
                  <c:v>60.665504999999996</c:v>
                </c:pt>
                <c:pt idx="5">
                  <c:v>213.848994</c:v>
                </c:pt>
                <c:pt idx="6">
                  <c:v>201.76531499999996</c:v>
                </c:pt>
                <c:pt idx="7">
                  <c:v>311.556288</c:v>
                </c:pt>
                <c:pt idx="8">
                  <c:v>115.15325999999999</c:v>
                </c:pt>
                <c:pt idx="9">
                  <c:v>220.54567499999996</c:v>
                </c:pt>
                <c:pt idx="10">
                  <c:v>168.65257499999998</c:v>
                </c:pt>
                <c:pt idx="11">
                  <c:v>918.90324599999997</c:v>
                </c:pt>
                <c:pt idx="12">
                  <c:v>1575.029718</c:v>
                </c:pt>
                <c:pt idx="13">
                  <c:v>2151.6361919999999</c:v>
                </c:pt>
                <c:pt idx="14">
                  <c:v>307.75079399999998</c:v>
                </c:pt>
                <c:pt idx="15">
                  <c:v>2433.0450599999999</c:v>
                </c:pt>
                <c:pt idx="16">
                  <c:v>0</c:v>
                </c:pt>
                <c:pt idx="17">
                  <c:v>463.08413999999999</c:v>
                </c:pt>
                <c:pt idx="18">
                  <c:v>489.154245</c:v>
                </c:pt>
                <c:pt idx="19">
                  <c:v>2391.0363600000001</c:v>
                </c:pt>
                <c:pt idx="20">
                  <c:v>1733.0318520000001</c:v>
                </c:pt>
                <c:pt idx="21">
                  <c:v>842.81807700000002</c:v>
                </c:pt>
                <c:pt idx="22">
                  <c:v>1464.6209699999999</c:v>
                </c:pt>
                <c:pt idx="23">
                  <c:v>1719.2925359999999</c:v>
                </c:pt>
                <c:pt idx="24">
                  <c:v>1887.6732899999997</c:v>
                </c:pt>
                <c:pt idx="25">
                  <c:v>1729.9676879999997</c:v>
                </c:pt>
                <c:pt idx="26">
                  <c:v>1386.0647009999998</c:v>
                </c:pt>
                <c:pt idx="27">
                  <c:v>770.66195700000003</c:v>
                </c:pt>
                <c:pt idx="28">
                  <c:v>799.07960700000001</c:v>
                </c:pt>
                <c:pt idx="29">
                  <c:v>916.50627899999995</c:v>
                </c:pt>
                <c:pt idx="30">
                  <c:v>1236.4148849999999</c:v>
                </c:pt>
                <c:pt idx="31">
                  <c:v>920.28706199999988</c:v>
                </c:pt>
                <c:pt idx="32">
                  <c:v>1219.3148729999998</c:v>
                </c:pt>
                <c:pt idx="33">
                  <c:v>1514.092392</c:v>
                </c:pt>
                <c:pt idx="34">
                  <c:v>2038.6574999999998</c:v>
                </c:pt>
                <c:pt idx="35">
                  <c:v>2137.4273670000002</c:v>
                </c:pt>
                <c:pt idx="36">
                  <c:v>2164.0905359999997</c:v>
                </c:pt>
                <c:pt idx="37">
                  <c:v>1285.9604399999998</c:v>
                </c:pt>
                <c:pt idx="38">
                  <c:v>207.29638449999999</c:v>
                </c:pt>
                <c:pt idx="39">
                  <c:v>466.48859299999998</c:v>
                </c:pt>
              </c:numCache>
            </c:numRef>
          </c:val>
          <c:extLst>
            <c:ext xmlns:c16="http://schemas.microsoft.com/office/drawing/2014/chart" uri="{C3380CC4-5D6E-409C-BE32-E72D297353CC}">
              <c16:uniqueId val="{00000000-4FE3-453C-8FB5-3BBFD56BC113}"/>
            </c:ext>
          </c:extLst>
        </c:ser>
        <c:dLbls>
          <c:showLegendKey val="0"/>
          <c:showVal val="1"/>
          <c:showCatName val="0"/>
          <c:showSerName val="0"/>
          <c:showPercent val="0"/>
          <c:showBubbleSize val="0"/>
        </c:dLbls>
        <c:gapWidth val="0"/>
        <c:axId val="62415616"/>
        <c:axId val="62417152"/>
      </c:barChart>
      <c:lineChart>
        <c:grouping val="standard"/>
        <c:varyColors val="0"/>
        <c:ser>
          <c:idx val="3"/>
          <c:order val="1"/>
          <c:tx>
            <c:strRef>
              <c:f>'create graphs here!'!$B$7</c:f>
              <c:strCache>
                <c:ptCount val="1"/>
                <c:pt idx="0">
                  <c:v>2025 Target</c:v>
                </c:pt>
              </c:strCache>
            </c:strRef>
          </c:tx>
          <c:spPr>
            <a:ln w="38100">
              <a:solidFill>
                <a:srgbClr val="357D91"/>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68-4FE3-453C-8FB5-3BBFD56BC113}"/>
                </c:ext>
              </c:extLst>
            </c:dLbl>
            <c:dLbl>
              <c:idx val="1"/>
              <c:layout>
                <c:manualLayout>
                  <c:x val="-3.0676483312236606E-2"/>
                  <c:y val="-2.428053444176138E-2"/>
                </c:manualLayout>
              </c:layout>
              <c:spPr>
                <a:noFill/>
                <a:ln>
                  <a:noFill/>
                </a:ln>
                <a:effectLst/>
              </c:spPr>
              <c:txPr>
                <a:bodyPr vertOverflow="clip" horzOverflow="clip" wrap="square" lIns="91440" tIns="45720" rIns="91440" bIns="45720" anchor="ctr">
                  <a:noAutofit/>
                </a:bodyPr>
                <a:lstStyle/>
                <a:p>
                  <a:pPr>
                    <a:defRPr sz="1600" b="1">
                      <a:solidFill>
                        <a:srgbClr val="357D91"/>
                      </a:solidFill>
                    </a:defRPr>
                  </a:pPr>
                  <a:endParaRPr lang="en-US"/>
                </a:p>
              </c:txPr>
              <c:dLblPos val="r"/>
              <c:showLegendKey val="0"/>
              <c:showVal val="0"/>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163438158121616"/>
                      <c:h val="5.4527342826666887E-2"/>
                    </c:manualLayout>
                  </c15:layout>
                </c:ext>
                <c:ext xmlns:c16="http://schemas.microsoft.com/office/drawing/2014/chart" uri="{C3380CC4-5D6E-409C-BE32-E72D297353CC}">
                  <c16:uniqueId val="{00000069-4FE3-453C-8FB5-3BBFD56BC113}"/>
                </c:ext>
              </c:extLst>
            </c:dLbl>
            <c:dLbl>
              <c:idx val="2"/>
              <c:delete val="1"/>
              <c:extLst>
                <c:ext xmlns:c15="http://schemas.microsoft.com/office/drawing/2012/chart" uri="{CE6537A1-D6FC-4f65-9D91-7224C49458BB}"/>
                <c:ext xmlns:c16="http://schemas.microsoft.com/office/drawing/2014/chart" uri="{C3380CC4-5D6E-409C-BE32-E72D297353CC}">
                  <c16:uniqueId val="{00000067-4FE3-453C-8FB5-3BBFD56BC113}"/>
                </c:ext>
              </c:extLst>
            </c:dLbl>
            <c:dLbl>
              <c:idx val="3"/>
              <c:delete val="1"/>
              <c:extLst>
                <c:ext xmlns:c15="http://schemas.microsoft.com/office/drawing/2012/chart" uri="{CE6537A1-D6FC-4f65-9D91-7224C49458BB}"/>
                <c:ext xmlns:c16="http://schemas.microsoft.com/office/drawing/2014/chart" uri="{C3380CC4-5D6E-409C-BE32-E72D297353CC}">
                  <c16:uniqueId val="{00000066-4FE3-453C-8FB5-3BBFD56BC113}"/>
                </c:ext>
              </c:extLst>
            </c:dLbl>
            <c:dLbl>
              <c:idx val="4"/>
              <c:delete val="1"/>
              <c:extLst>
                <c:ext xmlns:c15="http://schemas.microsoft.com/office/drawing/2012/chart" uri="{CE6537A1-D6FC-4f65-9D91-7224C49458BB}"/>
                <c:ext xmlns:c16="http://schemas.microsoft.com/office/drawing/2014/chart" uri="{C3380CC4-5D6E-409C-BE32-E72D297353CC}">
                  <c16:uniqueId val="{00000065-4FE3-453C-8FB5-3BBFD56BC113}"/>
                </c:ext>
              </c:extLst>
            </c:dLbl>
            <c:dLbl>
              <c:idx val="5"/>
              <c:delete val="1"/>
              <c:extLst>
                <c:ext xmlns:c15="http://schemas.microsoft.com/office/drawing/2012/chart" uri="{CE6537A1-D6FC-4f65-9D91-7224C49458BB}"/>
                <c:ext xmlns:c16="http://schemas.microsoft.com/office/drawing/2014/chart" uri="{C3380CC4-5D6E-409C-BE32-E72D297353CC}">
                  <c16:uniqueId val="{00000064-4FE3-453C-8FB5-3BBFD56BC113}"/>
                </c:ext>
              </c:extLst>
            </c:dLbl>
            <c:dLbl>
              <c:idx val="6"/>
              <c:delete val="1"/>
              <c:extLst>
                <c:ext xmlns:c15="http://schemas.microsoft.com/office/drawing/2012/chart" uri="{CE6537A1-D6FC-4f65-9D91-7224C49458BB}"/>
                <c:ext xmlns:c16="http://schemas.microsoft.com/office/drawing/2014/chart" uri="{C3380CC4-5D6E-409C-BE32-E72D297353CC}">
                  <c16:uniqueId val="{00000063-4FE3-453C-8FB5-3BBFD56BC113}"/>
                </c:ext>
              </c:extLst>
            </c:dLbl>
            <c:dLbl>
              <c:idx val="7"/>
              <c:delete val="1"/>
              <c:extLst>
                <c:ext xmlns:c15="http://schemas.microsoft.com/office/drawing/2012/chart" uri="{CE6537A1-D6FC-4f65-9D91-7224C49458BB}"/>
                <c:ext xmlns:c16="http://schemas.microsoft.com/office/drawing/2014/chart" uri="{C3380CC4-5D6E-409C-BE32-E72D297353CC}">
                  <c16:uniqueId val="{00000062-4FE3-453C-8FB5-3BBFD56BC113}"/>
                </c:ext>
              </c:extLst>
            </c:dLbl>
            <c:dLbl>
              <c:idx val="8"/>
              <c:delete val="1"/>
              <c:extLst>
                <c:ext xmlns:c15="http://schemas.microsoft.com/office/drawing/2012/chart" uri="{CE6537A1-D6FC-4f65-9D91-7224C49458BB}"/>
                <c:ext xmlns:c16="http://schemas.microsoft.com/office/drawing/2014/chart" uri="{C3380CC4-5D6E-409C-BE32-E72D297353CC}">
                  <c16:uniqueId val="{00000061-4FE3-453C-8FB5-3BBFD56BC113}"/>
                </c:ext>
              </c:extLst>
            </c:dLbl>
            <c:dLbl>
              <c:idx val="9"/>
              <c:delete val="1"/>
              <c:extLst>
                <c:ext xmlns:c15="http://schemas.microsoft.com/office/drawing/2012/chart" uri="{CE6537A1-D6FC-4f65-9D91-7224C49458BB}"/>
                <c:ext xmlns:c16="http://schemas.microsoft.com/office/drawing/2014/chart" uri="{C3380CC4-5D6E-409C-BE32-E72D297353CC}">
                  <c16:uniqueId val="{00000060-4FE3-453C-8FB5-3BBFD56BC113}"/>
                </c:ext>
              </c:extLst>
            </c:dLbl>
            <c:dLbl>
              <c:idx val="10"/>
              <c:delete val="1"/>
              <c:extLst>
                <c:ext xmlns:c15="http://schemas.microsoft.com/office/drawing/2012/chart" uri="{CE6537A1-D6FC-4f65-9D91-7224C49458BB}"/>
                <c:ext xmlns:c16="http://schemas.microsoft.com/office/drawing/2014/chart" uri="{C3380CC4-5D6E-409C-BE32-E72D297353CC}">
                  <c16:uniqueId val="{0000005F-4FE3-453C-8FB5-3BBFD56BC113}"/>
                </c:ext>
              </c:extLst>
            </c:dLbl>
            <c:dLbl>
              <c:idx val="11"/>
              <c:delete val="1"/>
              <c:extLst>
                <c:ext xmlns:c15="http://schemas.microsoft.com/office/drawing/2012/chart" uri="{CE6537A1-D6FC-4f65-9D91-7224C49458BB}"/>
                <c:ext xmlns:c16="http://schemas.microsoft.com/office/drawing/2014/chart" uri="{C3380CC4-5D6E-409C-BE32-E72D297353CC}">
                  <c16:uniqueId val="{0000005E-4FE3-453C-8FB5-3BBFD56BC113}"/>
                </c:ext>
              </c:extLst>
            </c:dLbl>
            <c:dLbl>
              <c:idx val="12"/>
              <c:delete val="1"/>
              <c:extLst>
                <c:ext xmlns:c15="http://schemas.microsoft.com/office/drawing/2012/chart" uri="{CE6537A1-D6FC-4f65-9D91-7224C49458BB}"/>
                <c:ext xmlns:c16="http://schemas.microsoft.com/office/drawing/2014/chart" uri="{C3380CC4-5D6E-409C-BE32-E72D297353CC}">
                  <c16:uniqueId val="{0000005D-4FE3-453C-8FB5-3BBFD56BC113}"/>
                </c:ext>
              </c:extLst>
            </c:dLbl>
            <c:dLbl>
              <c:idx val="13"/>
              <c:delete val="1"/>
              <c:extLst>
                <c:ext xmlns:c15="http://schemas.microsoft.com/office/drawing/2012/chart" uri="{CE6537A1-D6FC-4f65-9D91-7224C49458BB}"/>
                <c:ext xmlns:c16="http://schemas.microsoft.com/office/drawing/2014/chart" uri="{C3380CC4-5D6E-409C-BE32-E72D297353CC}">
                  <c16:uniqueId val="{0000005C-4FE3-453C-8FB5-3BBFD56BC113}"/>
                </c:ext>
              </c:extLst>
            </c:dLbl>
            <c:dLbl>
              <c:idx val="14"/>
              <c:delete val="1"/>
              <c:extLst>
                <c:ext xmlns:c15="http://schemas.microsoft.com/office/drawing/2012/chart" uri="{CE6537A1-D6FC-4f65-9D91-7224C49458BB}"/>
                <c:ext xmlns:c16="http://schemas.microsoft.com/office/drawing/2014/chart" uri="{C3380CC4-5D6E-409C-BE32-E72D297353CC}">
                  <c16:uniqueId val="{0000005B-4FE3-453C-8FB5-3BBFD56BC113}"/>
                </c:ext>
              </c:extLst>
            </c:dLbl>
            <c:dLbl>
              <c:idx val="15"/>
              <c:delete val="1"/>
              <c:extLst>
                <c:ext xmlns:c15="http://schemas.microsoft.com/office/drawing/2012/chart" uri="{CE6537A1-D6FC-4f65-9D91-7224C49458BB}"/>
                <c:ext xmlns:c16="http://schemas.microsoft.com/office/drawing/2014/chart" uri="{C3380CC4-5D6E-409C-BE32-E72D297353CC}">
                  <c16:uniqueId val="{0000005A-4FE3-453C-8FB5-3BBFD56BC113}"/>
                </c:ext>
              </c:extLst>
            </c:dLbl>
            <c:dLbl>
              <c:idx val="16"/>
              <c:delete val="1"/>
              <c:extLst>
                <c:ext xmlns:c15="http://schemas.microsoft.com/office/drawing/2012/chart" uri="{CE6537A1-D6FC-4f65-9D91-7224C49458BB}"/>
                <c:ext xmlns:c16="http://schemas.microsoft.com/office/drawing/2014/chart" uri="{C3380CC4-5D6E-409C-BE32-E72D297353CC}">
                  <c16:uniqueId val="{00000059-4FE3-453C-8FB5-3BBFD56BC113}"/>
                </c:ext>
              </c:extLst>
            </c:dLbl>
            <c:dLbl>
              <c:idx val="17"/>
              <c:delete val="1"/>
              <c:extLst>
                <c:ext xmlns:c15="http://schemas.microsoft.com/office/drawing/2012/chart" uri="{CE6537A1-D6FC-4f65-9D91-7224C49458BB}"/>
                <c:ext xmlns:c16="http://schemas.microsoft.com/office/drawing/2014/chart" uri="{C3380CC4-5D6E-409C-BE32-E72D297353CC}">
                  <c16:uniqueId val="{00000058-4FE3-453C-8FB5-3BBFD56BC113}"/>
                </c:ext>
              </c:extLst>
            </c:dLbl>
            <c:dLbl>
              <c:idx val="18"/>
              <c:delete val="1"/>
              <c:extLst>
                <c:ext xmlns:c15="http://schemas.microsoft.com/office/drawing/2012/chart" uri="{CE6537A1-D6FC-4f65-9D91-7224C49458BB}"/>
                <c:ext xmlns:c16="http://schemas.microsoft.com/office/drawing/2014/chart" uri="{C3380CC4-5D6E-409C-BE32-E72D297353CC}">
                  <c16:uniqueId val="{00000057-4FE3-453C-8FB5-3BBFD56BC113}"/>
                </c:ext>
              </c:extLst>
            </c:dLbl>
            <c:dLbl>
              <c:idx val="19"/>
              <c:delete val="1"/>
              <c:extLst>
                <c:ext xmlns:c15="http://schemas.microsoft.com/office/drawing/2012/chart" uri="{CE6537A1-D6FC-4f65-9D91-7224C49458BB}"/>
                <c:ext xmlns:c16="http://schemas.microsoft.com/office/drawing/2014/chart" uri="{C3380CC4-5D6E-409C-BE32-E72D297353CC}">
                  <c16:uniqueId val="{00000056-4FE3-453C-8FB5-3BBFD56BC113}"/>
                </c:ext>
              </c:extLst>
            </c:dLbl>
            <c:dLbl>
              <c:idx val="20"/>
              <c:delete val="1"/>
              <c:extLst>
                <c:ext xmlns:c15="http://schemas.microsoft.com/office/drawing/2012/chart" uri="{CE6537A1-D6FC-4f65-9D91-7224C49458BB}"/>
                <c:ext xmlns:c16="http://schemas.microsoft.com/office/drawing/2014/chart" uri="{C3380CC4-5D6E-409C-BE32-E72D297353CC}">
                  <c16:uniqueId val="{00000055-4FE3-453C-8FB5-3BBFD56BC113}"/>
                </c:ext>
              </c:extLst>
            </c:dLbl>
            <c:dLbl>
              <c:idx val="21"/>
              <c:delete val="1"/>
              <c:extLst>
                <c:ext xmlns:c15="http://schemas.microsoft.com/office/drawing/2012/chart" uri="{CE6537A1-D6FC-4f65-9D91-7224C49458BB}"/>
                <c:ext xmlns:c16="http://schemas.microsoft.com/office/drawing/2014/chart" uri="{C3380CC4-5D6E-409C-BE32-E72D297353CC}">
                  <c16:uniqueId val="{00000054-4FE3-453C-8FB5-3BBFD56BC113}"/>
                </c:ext>
              </c:extLst>
            </c:dLbl>
            <c:dLbl>
              <c:idx val="22"/>
              <c:delete val="1"/>
              <c:extLst>
                <c:ext xmlns:c15="http://schemas.microsoft.com/office/drawing/2012/chart" uri="{CE6537A1-D6FC-4f65-9D91-7224C49458BB}"/>
                <c:ext xmlns:c16="http://schemas.microsoft.com/office/drawing/2014/chart" uri="{C3380CC4-5D6E-409C-BE32-E72D297353CC}">
                  <c16:uniqueId val="{00000053-4FE3-453C-8FB5-3BBFD56BC113}"/>
                </c:ext>
              </c:extLst>
            </c:dLbl>
            <c:dLbl>
              <c:idx val="23"/>
              <c:delete val="1"/>
              <c:extLst>
                <c:ext xmlns:c15="http://schemas.microsoft.com/office/drawing/2012/chart" uri="{CE6537A1-D6FC-4f65-9D91-7224C49458BB}"/>
                <c:ext xmlns:c16="http://schemas.microsoft.com/office/drawing/2014/chart" uri="{C3380CC4-5D6E-409C-BE32-E72D297353CC}">
                  <c16:uniqueId val="{00000052-4FE3-453C-8FB5-3BBFD56BC113}"/>
                </c:ext>
              </c:extLst>
            </c:dLbl>
            <c:dLbl>
              <c:idx val="24"/>
              <c:delete val="1"/>
              <c:extLst>
                <c:ext xmlns:c15="http://schemas.microsoft.com/office/drawing/2012/chart" uri="{CE6537A1-D6FC-4f65-9D91-7224C49458BB}"/>
                <c:ext xmlns:c16="http://schemas.microsoft.com/office/drawing/2014/chart" uri="{C3380CC4-5D6E-409C-BE32-E72D297353CC}">
                  <c16:uniqueId val="{00000051-4FE3-453C-8FB5-3BBFD56BC113}"/>
                </c:ext>
              </c:extLst>
            </c:dLbl>
            <c:dLbl>
              <c:idx val="25"/>
              <c:delete val="1"/>
              <c:extLst>
                <c:ext xmlns:c15="http://schemas.microsoft.com/office/drawing/2012/chart" uri="{CE6537A1-D6FC-4f65-9D91-7224C49458BB}"/>
                <c:ext xmlns:c16="http://schemas.microsoft.com/office/drawing/2014/chart" uri="{C3380CC4-5D6E-409C-BE32-E72D297353CC}">
                  <c16:uniqueId val="{00000050-4FE3-453C-8FB5-3BBFD56BC113}"/>
                </c:ext>
              </c:extLst>
            </c:dLbl>
            <c:dLbl>
              <c:idx val="26"/>
              <c:delete val="1"/>
              <c:extLst>
                <c:ext xmlns:c15="http://schemas.microsoft.com/office/drawing/2012/chart" uri="{CE6537A1-D6FC-4f65-9D91-7224C49458BB}"/>
                <c:ext xmlns:c16="http://schemas.microsoft.com/office/drawing/2014/chart" uri="{C3380CC4-5D6E-409C-BE32-E72D297353CC}">
                  <c16:uniqueId val="{0000004F-4FE3-453C-8FB5-3BBFD56BC113}"/>
                </c:ext>
              </c:extLst>
            </c:dLbl>
            <c:dLbl>
              <c:idx val="27"/>
              <c:delete val="1"/>
              <c:extLst>
                <c:ext xmlns:c15="http://schemas.microsoft.com/office/drawing/2012/chart" uri="{CE6537A1-D6FC-4f65-9D91-7224C49458BB}"/>
                <c:ext xmlns:c16="http://schemas.microsoft.com/office/drawing/2014/chart" uri="{C3380CC4-5D6E-409C-BE32-E72D297353CC}">
                  <c16:uniqueId val="{0000004E-4FE3-453C-8FB5-3BBFD56BC113}"/>
                </c:ext>
              </c:extLst>
            </c:dLbl>
            <c:dLbl>
              <c:idx val="28"/>
              <c:delete val="1"/>
              <c:extLst>
                <c:ext xmlns:c15="http://schemas.microsoft.com/office/drawing/2012/chart" uri="{CE6537A1-D6FC-4f65-9D91-7224C49458BB}"/>
                <c:ext xmlns:c16="http://schemas.microsoft.com/office/drawing/2014/chart" uri="{C3380CC4-5D6E-409C-BE32-E72D297353CC}">
                  <c16:uniqueId val="{0000004D-4FE3-453C-8FB5-3BBFD56BC113}"/>
                </c:ext>
              </c:extLst>
            </c:dLbl>
            <c:dLbl>
              <c:idx val="29"/>
              <c:delete val="1"/>
              <c:extLst>
                <c:ext xmlns:c15="http://schemas.microsoft.com/office/drawing/2012/chart" uri="{CE6537A1-D6FC-4f65-9D91-7224C49458BB}"/>
                <c:ext xmlns:c16="http://schemas.microsoft.com/office/drawing/2014/chart" uri="{C3380CC4-5D6E-409C-BE32-E72D297353CC}">
                  <c16:uniqueId val="{0000004C-4FE3-453C-8FB5-3BBFD56BC113}"/>
                </c:ext>
              </c:extLst>
            </c:dLbl>
            <c:dLbl>
              <c:idx val="30"/>
              <c:delete val="1"/>
              <c:extLst>
                <c:ext xmlns:c15="http://schemas.microsoft.com/office/drawing/2012/chart" uri="{CE6537A1-D6FC-4f65-9D91-7224C49458BB}"/>
                <c:ext xmlns:c16="http://schemas.microsoft.com/office/drawing/2014/chart" uri="{C3380CC4-5D6E-409C-BE32-E72D297353CC}">
                  <c16:uniqueId val="{0000004B-4FE3-453C-8FB5-3BBFD56BC113}"/>
                </c:ext>
              </c:extLst>
            </c:dLbl>
            <c:dLbl>
              <c:idx val="31"/>
              <c:delete val="1"/>
              <c:extLst>
                <c:ext xmlns:c15="http://schemas.microsoft.com/office/drawing/2012/chart" uri="{CE6537A1-D6FC-4f65-9D91-7224C49458BB}"/>
                <c:ext xmlns:c16="http://schemas.microsoft.com/office/drawing/2014/chart" uri="{C3380CC4-5D6E-409C-BE32-E72D297353CC}">
                  <c16:uniqueId val="{0000004A-4FE3-453C-8FB5-3BBFD56BC113}"/>
                </c:ext>
              </c:extLst>
            </c:dLbl>
            <c:dLbl>
              <c:idx val="32"/>
              <c:delete val="1"/>
              <c:extLst>
                <c:ext xmlns:c15="http://schemas.microsoft.com/office/drawing/2012/chart" uri="{CE6537A1-D6FC-4f65-9D91-7224C49458BB}"/>
                <c:ext xmlns:c16="http://schemas.microsoft.com/office/drawing/2014/chart" uri="{C3380CC4-5D6E-409C-BE32-E72D297353CC}">
                  <c16:uniqueId val="{00000049-4FE3-453C-8FB5-3BBFD56BC113}"/>
                </c:ext>
              </c:extLst>
            </c:dLbl>
            <c:dLbl>
              <c:idx val="33"/>
              <c:delete val="1"/>
              <c:extLst>
                <c:ext xmlns:c15="http://schemas.microsoft.com/office/drawing/2012/chart" uri="{CE6537A1-D6FC-4f65-9D91-7224C49458BB}"/>
                <c:ext xmlns:c16="http://schemas.microsoft.com/office/drawing/2014/chart" uri="{C3380CC4-5D6E-409C-BE32-E72D297353CC}">
                  <c16:uniqueId val="{00000048-4FE3-453C-8FB5-3BBFD56BC113}"/>
                </c:ext>
              </c:extLst>
            </c:dLbl>
            <c:dLbl>
              <c:idx val="34"/>
              <c:delete val="1"/>
              <c:extLst>
                <c:ext xmlns:c15="http://schemas.microsoft.com/office/drawing/2012/chart" uri="{CE6537A1-D6FC-4f65-9D91-7224C49458BB}"/>
                <c:ext xmlns:c16="http://schemas.microsoft.com/office/drawing/2014/chart" uri="{C3380CC4-5D6E-409C-BE32-E72D297353CC}">
                  <c16:uniqueId val="{00000000-2ACF-4FBF-A5EE-D549C1BB9312}"/>
                </c:ext>
              </c:extLst>
            </c:dLbl>
            <c:dLbl>
              <c:idx val="35"/>
              <c:delete val="1"/>
              <c:extLst>
                <c:ext xmlns:c15="http://schemas.microsoft.com/office/drawing/2012/chart" uri="{CE6537A1-D6FC-4f65-9D91-7224C49458BB}"/>
                <c:ext xmlns:c16="http://schemas.microsoft.com/office/drawing/2014/chart" uri="{C3380CC4-5D6E-409C-BE32-E72D297353CC}">
                  <c16:uniqueId val="{00000001-65B5-4535-9A34-ACBE9F5DCE65}"/>
                </c:ext>
              </c:extLst>
            </c:dLbl>
            <c:dLbl>
              <c:idx val="36"/>
              <c:delete val="1"/>
              <c:extLst>
                <c:ext xmlns:c15="http://schemas.microsoft.com/office/drawing/2012/chart" uri="{CE6537A1-D6FC-4f65-9D91-7224C49458BB}"/>
                <c:ext xmlns:c16="http://schemas.microsoft.com/office/drawing/2014/chart" uri="{C3380CC4-5D6E-409C-BE32-E72D297353CC}">
                  <c16:uniqueId val="{00000000-E787-4591-BBBB-5088FC0A6D86}"/>
                </c:ext>
              </c:extLst>
            </c:dLbl>
            <c:dLbl>
              <c:idx val="37"/>
              <c:delete val="1"/>
              <c:extLst>
                <c:ext xmlns:c15="http://schemas.microsoft.com/office/drawing/2012/chart" uri="{CE6537A1-D6FC-4f65-9D91-7224C49458BB}"/>
                <c:ext xmlns:c16="http://schemas.microsoft.com/office/drawing/2014/chart" uri="{C3380CC4-5D6E-409C-BE32-E72D297353CC}">
                  <c16:uniqueId val="{00000001-D695-47FB-AEE0-517EFF5BBE06}"/>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'create graphs here!'!$C$2:$AN$2</c:f>
              <c:numCache>
                <c:formatCode>General</c:formatCode>
                <c:ptCount val="38"/>
                <c:pt idx="0">
                  <c:v>1984</c:v>
                </c:pt>
                <c:pt idx="1">
                  <c:v>1985</c:v>
                </c:pt>
                <c:pt idx="2">
                  <c:v>1986</c:v>
                </c:pt>
                <c:pt idx="3">
                  <c:v>1987</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numCache>
            </c:numRef>
          </c:cat>
          <c:val>
            <c:numRef>
              <c:f>'create graphs here!'!$C$7:$AN$7</c:f>
              <c:numCache>
                <c:formatCode>General</c:formatCode>
                <c:ptCount val="38"/>
                <c:pt idx="0">
                  <c:v>79800</c:v>
                </c:pt>
                <c:pt idx="1">
                  <c:v>79800</c:v>
                </c:pt>
                <c:pt idx="2">
                  <c:v>79800</c:v>
                </c:pt>
                <c:pt idx="3">
                  <c:v>79800</c:v>
                </c:pt>
                <c:pt idx="4">
                  <c:v>79800</c:v>
                </c:pt>
                <c:pt idx="5">
                  <c:v>79800</c:v>
                </c:pt>
                <c:pt idx="6">
                  <c:v>79800</c:v>
                </c:pt>
                <c:pt idx="7">
                  <c:v>79800</c:v>
                </c:pt>
                <c:pt idx="8">
                  <c:v>79800</c:v>
                </c:pt>
                <c:pt idx="9">
                  <c:v>79800</c:v>
                </c:pt>
                <c:pt idx="10">
                  <c:v>79800</c:v>
                </c:pt>
                <c:pt idx="11">
                  <c:v>79800</c:v>
                </c:pt>
                <c:pt idx="12">
                  <c:v>79800</c:v>
                </c:pt>
                <c:pt idx="13">
                  <c:v>79800</c:v>
                </c:pt>
                <c:pt idx="14">
                  <c:v>79800</c:v>
                </c:pt>
                <c:pt idx="15">
                  <c:v>79800</c:v>
                </c:pt>
                <c:pt idx="16">
                  <c:v>79800</c:v>
                </c:pt>
                <c:pt idx="17">
                  <c:v>79800</c:v>
                </c:pt>
                <c:pt idx="18">
                  <c:v>79800</c:v>
                </c:pt>
                <c:pt idx="19">
                  <c:v>79800</c:v>
                </c:pt>
                <c:pt idx="20">
                  <c:v>79800</c:v>
                </c:pt>
                <c:pt idx="21">
                  <c:v>79800</c:v>
                </c:pt>
                <c:pt idx="22">
                  <c:v>79800</c:v>
                </c:pt>
                <c:pt idx="23">
                  <c:v>79800</c:v>
                </c:pt>
                <c:pt idx="24">
                  <c:v>79800</c:v>
                </c:pt>
                <c:pt idx="25">
                  <c:v>79800</c:v>
                </c:pt>
                <c:pt idx="26">
                  <c:v>79800</c:v>
                </c:pt>
                <c:pt idx="27">
                  <c:v>79800</c:v>
                </c:pt>
                <c:pt idx="28">
                  <c:v>79800</c:v>
                </c:pt>
                <c:pt idx="29">
                  <c:v>79800</c:v>
                </c:pt>
                <c:pt idx="30">
                  <c:v>79800</c:v>
                </c:pt>
                <c:pt idx="31">
                  <c:v>79800</c:v>
                </c:pt>
                <c:pt idx="32">
                  <c:v>79800</c:v>
                </c:pt>
                <c:pt idx="33">
                  <c:v>79800</c:v>
                </c:pt>
                <c:pt idx="34">
                  <c:v>79800</c:v>
                </c:pt>
                <c:pt idx="35">
                  <c:v>79800</c:v>
                </c:pt>
                <c:pt idx="36">
                  <c:v>79800</c:v>
                </c:pt>
                <c:pt idx="37">
                  <c:v>79800</c:v>
                </c:pt>
              </c:numCache>
            </c:numRef>
          </c:val>
          <c:smooth val="0"/>
          <c:extLst>
            <c:ext xmlns:c16="http://schemas.microsoft.com/office/drawing/2014/chart" uri="{C3380CC4-5D6E-409C-BE32-E72D297353CC}">
              <c16:uniqueId val="{00000047-4FE3-453C-8FB5-3BBFD56BC113}"/>
            </c:ext>
          </c:extLst>
        </c:ser>
        <c:ser>
          <c:idx val="0"/>
          <c:order val="2"/>
          <c:tx>
            <c:strRef>
              <c:f>'create graphs here!'!$B$6</c:f>
              <c:strCache>
                <c:ptCount val="1"/>
                <c:pt idx="0">
                  <c:v>2017 Target</c:v>
                </c:pt>
              </c:strCache>
            </c:strRef>
          </c:tx>
          <c:spPr>
            <a:ln w="38100" cap="flat">
              <a:solidFill>
                <a:srgbClr val="357D91"/>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45-4FE3-453C-8FB5-3BBFD56BC113}"/>
                </c:ext>
              </c:extLst>
            </c:dLbl>
            <c:dLbl>
              <c:idx val="1"/>
              <c:delete val="1"/>
              <c:extLst>
                <c:ext xmlns:c15="http://schemas.microsoft.com/office/drawing/2012/chart" uri="{CE6537A1-D6FC-4f65-9D91-7224C49458BB}"/>
                <c:ext xmlns:c16="http://schemas.microsoft.com/office/drawing/2014/chart" uri="{C3380CC4-5D6E-409C-BE32-E72D297353CC}">
                  <c16:uniqueId val="{00000044-4FE3-453C-8FB5-3BBFD56BC113}"/>
                </c:ext>
              </c:extLst>
            </c:dLbl>
            <c:dLbl>
              <c:idx val="2"/>
              <c:layout>
                <c:manualLayout>
                  <c:x val="-1.711363297124583E-2"/>
                  <c:y val="-2.5459652274491307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46-4FE3-453C-8FB5-3BBFD56BC113}"/>
                </c:ext>
              </c:extLst>
            </c:dLbl>
            <c:dLbl>
              <c:idx val="3"/>
              <c:delete val="1"/>
              <c:extLst>
                <c:ext xmlns:c15="http://schemas.microsoft.com/office/drawing/2012/chart" uri="{CE6537A1-D6FC-4f65-9D91-7224C49458BB}"/>
                <c:ext xmlns:c16="http://schemas.microsoft.com/office/drawing/2014/chart" uri="{C3380CC4-5D6E-409C-BE32-E72D297353CC}">
                  <c16:uniqueId val="{00000043-4FE3-453C-8FB5-3BBFD56BC113}"/>
                </c:ext>
              </c:extLst>
            </c:dLbl>
            <c:dLbl>
              <c:idx val="4"/>
              <c:delete val="1"/>
              <c:extLst>
                <c:ext xmlns:c15="http://schemas.microsoft.com/office/drawing/2012/chart" uri="{CE6537A1-D6FC-4f65-9D91-7224C49458BB}"/>
                <c:ext xmlns:c16="http://schemas.microsoft.com/office/drawing/2014/chart" uri="{C3380CC4-5D6E-409C-BE32-E72D297353CC}">
                  <c16:uniqueId val="{00000042-4FE3-453C-8FB5-3BBFD56BC113}"/>
                </c:ext>
              </c:extLst>
            </c:dLbl>
            <c:dLbl>
              <c:idx val="5"/>
              <c:delete val="1"/>
              <c:extLst>
                <c:ext xmlns:c15="http://schemas.microsoft.com/office/drawing/2012/chart" uri="{CE6537A1-D6FC-4f65-9D91-7224C49458BB}"/>
                <c:ext xmlns:c16="http://schemas.microsoft.com/office/drawing/2014/chart" uri="{C3380CC4-5D6E-409C-BE32-E72D297353CC}">
                  <c16:uniqueId val="{00000041-4FE3-453C-8FB5-3BBFD56BC113}"/>
                </c:ext>
              </c:extLst>
            </c:dLbl>
            <c:dLbl>
              <c:idx val="6"/>
              <c:delete val="1"/>
              <c:extLst>
                <c:ext xmlns:c15="http://schemas.microsoft.com/office/drawing/2012/chart" uri="{CE6537A1-D6FC-4f65-9D91-7224C49458BB}"/>
                <c:ext xmlns:c16="http://schemas.microsoft.com/office/drawing/2014/chart" uri="{C3380CC4-5D6E-409C-BE32-E72D297353CC}">
                  <c16:uniqueId val="{00000040-4FE3-453C-8FB5-3BBFD56BC113}"/>
                </c:ext>
              </c:extLst>
            </c:dLbl>
            <c:dLbl>
              <c:idx val="7"/>
              <c:delete val="1"/>
              <c:extLst>
                <c:ext xmlns:c15="http://schemas.microsoft.com/office/drawing/2012/chart" uri="{CE6537A1-D6FC-4f65-9D91-7224C49458BB}"/>
                <c:ext xmlns:c16="http://schemas.microsoft.com/office/drawing/2014/chart" uri="{C3380CC4-5D6E-409C-BE32-E72D297353CC}">
                  <c16:uniqueId val="{0000003F-4FE3-453C-8FB5-3BBFD56BC113}"/>
                </c:ext>
              </c:extLst>
            </c:dLbl>
            <c:dLbl>
              <c:idx val="8"/>
              <c:delete val="1"/>
              <c:extLst>
                <c:ext xmlns:c15="http://schemas.microsoft.com/office/drawing/2012/chart" uri="{CE6537A1-D6FC-4f65-9D91-7224C49458BB}"/>
                <c:ext xmlns:c16="http://schemas.microsoft.com/office/drawing/2014/chart" uri="{C3380CC4-5D6E-409C-BE32-E72D297353CC}">
                  <c16:uniqueId val="{0000003E-4FE3-453C-8FB5-3BBFD56BC113}"/>
                </c:ext>
              </c:extLst>
            </c:dLbl>
            <c:dLbl>
              <c:idx val="9"/>
              <c:delete val="1"/>
              <c:extLst>
                <c:ext xmlns:c15="http://schemas.microsoft.com/office/drawing/2012/chart" uri="{CE6537A1-D6FC-4f65-9D91-7224C49458BB}"/>
                <c:ext xmlns:c16="http://schemas.microsoft.com/office/drawing/2014/chart" uri="{C3380CC4-5D6E-409C-BE32-E72D297353CC}">
                  <c16:uniqueId val="{0000003D-4FE3-453C-8FB5-3BBFD56BC113}"/>
                </c:ext>
              </c:extLst>
            </c:dLbl>
            <c:dLbl>
              <c:idx val="10"/>
              <c:delete val="1"/>
              <c:extLst>
                <c:ext xmlns:c15="http://schemas.microsoft.com/office/drawing/2012/chart" uri="{CE6537A1-D6FC-4f65-9D91-7224C49458BB}"/>
                <c:ext xmlns:c16="http://schemas.microsoft.com/office/drawing/2014/chart" uri="{C3380CC4-5D6E-409C-BE32-E72D297353CC}">
                  <c16:uniqueId val="{0000003C-4FE3-453C-8FB5-3BBFD56BC113}"/>
                </c:ext>
              </c:extLst>
            </c:dLbl>
            <c:dLbl>
              <c:idx val="11"/>
              <c:delete val="1"/>
              <c:extLst>
                <c:ext xmlns:c15="http://schemas.microsoft.com/office/drawing/2012/chart" uri="{CE6537A1-D6FC-4f65-9D91-7224C49458BB}"/>
                <c:ext xmlns:c16="http://schemas.microsoft.com/office/drawing/2014/chart" uri="{C3380CC4-5D6E-409C-BE32-E72D297353CC}">
                  <c16:uniqueId val="{0000003B-4FE3-453C-8FB5-3BBFD56BC113}"/>
                </c:ext>
              </c:extLst>
            </c:dLbl>
            <c:dLbl>
              <c:idx val="12"/>
              <c:delete val="1"/>
              <c:extLst>
                <c:ext xmlns:c15="http://schemas.microsoft.com/office/drawing/2012/chart" uri="{CE6537A1-D6FC-4f65-9D91-7224C49458BB}"/>
                <c:ext xmlns:c16="http://schemas.microsoft.com/office/drawing/2014/chart" uri="{C3380CC4-5D6E-409C-BE32-E72D297353CC}">
                  <c16:uniqueId val="{0000003A-4FE3-453C-8FB5-3BBFD56BC113}"/>
                </c:ext>
              </c:extLst>
            </c:dLbl>
            <c:dLbl>
              <c:idx val="13"/>
              <c:delete val="1"/>
              <c:extLst>
                <c:ext xmlns:c15="http://schemas.microsoft.com/office/drawing/2012/chart" uri="{CE6537A1-D6FC-4f65-9D91-7224C49458BB}"/>
                <c:ext xmlns:c16="http://schemas.microsoft.com/office/drawing/2014/chart" uri="{C3380CC4-5D6E-409C-BE32-E72D297353CC}">
                  <c16:uniqueId val="{00000039-4FE3-453C-8FB5-3BBFD56BC113}"/>
                </c:ext>
              </c:extLst>
            </c:dLbl>
            <c:dLbl>
              <c:idx val="14"/>
              <c:delete val="1"/>
              <c:extLst>
                <c:ext xmlns:c15="http://schemas.microsoft.com/office/drawing/2012/chart" uri="{CE6537A1-D6FC-4f65-9D91-7224C49458BB}"/>
                <c:ext xmlns:c16="http://schemas.microsoft.com/office/drawing/2014/chart" uri="{C3380CC4-5D6E-409C-BE32-E72D297353CC}">
                  <c16:uniqueId val="{00000038-4FE3-453C-8FB5-3BBFD56BC113}"/>
                </c:ext>
              </c:extLst>
            </c:dLbl>
            <c:dLbl>
              <c:idx val="15"/>
              <c:delete val="1"/>
              <c:extLst>
                <c:ext xmlns:c15="http://schemas.microsoft.com/office/drawing/2012/chart" uri="{CE6537A1-D6FC-4f65-9D91-7224C49458BB}"/>
                <c:ext xmlns:c16="http://schemas.microsoft.com/office/drawing/2014/chart" uri="{C3380CC4-5D6E-409C-BE32-E72D297353CC}">
                  <c16:uniqueId val="{00000037-4FE3-453C-8FB5-3BBFD56BC113}"/>
                </c:ext>
              </c:extLst>
            </c:dLbl>
            <c:dLbl>
              <c:idx val="16"/>
              <c:delete val="1"/>
              <c:extLst>
                <c:ext xmlns:c15="http://schemas.microsoft.com/office/drawing/2012/chart" uri="{CE6537A1-D6FC-4f65-9D91-7224C49458BB}"/>
                <c:ext xmlns:c16="http://schemas.microsoft.com/office/drawing/2014/chart" uri="{C3380CC4-5D6E-409C-BE32-E72D297353CC}">
                  <c16:uniqueId val="{00000036-4FE3-453C-8FB5-3BBFD56BC113}"/>
                </c:ext>
              </c:extLst>
            </c:dLbl>
            <c:dLbl>
              <c:idx val="17"/>
              <c:delete val="1"/>
              <c:extLst>
                <c:ext xmlns:c15="http://schemas.microsoft.com/office/drawing/2012/chart" uri="{CE6537A1-D6FC-4f65-9D91-7224C49458BB}"/>
                <c:ext xmlns:c16="http://schemas.microsoft.com/office/drawing/2014/chart" uri="{C3380CC4-5D6E-409C-BE32-E72D297353CC}">
                  <c16:uniqueId val="{00000035-4FE3-453C-8FB5-3BBFD56BC113}"/>
                </c:ext>
              </c:extLst>
            </c:dLbl>
            <c:dLbl>
              <c:idx val="18"/>
              <c:delete val="1"/>
              <c:extLst>
                <c:ext xmlns:c15="http://schemas.microsoft.com/office/drawing/2012/chart" uri="{CE6537A1-D6FC-4f65-9D91-7224C49458BB}"/>
                <c:ext xmlns:c16="http://schemas.microsoft.com/office/drawing/2014/chart" uri="{C3380CC4-5D6E-409C-BE32-E72D297353CC}">
                  <c16:uniqueId val="{00000034-4FE3-453C-8FB5-3BBFD56BC113}"/>
                </c:ext>
              </c:extLst>
            </c:dLbl>
            <c:dLbl>
              <c:idx val="19"/>
              <c:delete val="1"/>
              <c:extLst>
                <c:ext xmlns:c15="http://schemas.microsoft.com/office/drawing/2012/chart" uri="{CE6537A1-D6FC-4f65-9D91-7224C49458BB}"/>
                <c:ext xmlns:c16="http://schemas.microsoft.com/office/drawing/2014/chart" uri="{C3380CC4-5D6E-409C-BE32-E72D297353CC}">
                  <c16:uniqueId val="{00000033-4FE3-453C-8FB5-3BBFD56BC113}"/>
                </c:ext>
              </c:extLst>
            </c:dLbl>
            <c:dLbl>
              <c:idx val="20"/>
              <c:delete val="1"/>
              <c:extLst>
                <c:ext xmlns:c15="http://schemas.microsoft.com/office/drawing/2012/chart" uri="{CE6537A1-D6FC-4f65-9D91-7224C49458BB}"/>
                <c:ext xmlns:c16="http://schemas.microsoft.com/office/drawing/2014/chart" uri="{C3380CC4-5D6E-409C-BE32-E72D297353CC}">
                  <c16:uniqueId val="{00000032-4FE3-453C-8FB5-3BBFD56BC113}"/>
                </c:ext>
              </c:extLst>
            </c:dLbl>
            <c:dLbl>
              <c:idx val="21"/>
              <c:delete val="1"/>
              <c:extLst>
                <c:ext xmlns:c15="http://schemas.microsoft.com/office/drawing/2012/chart" uri="{CE6537A1-D6FC-4f65-9D91-7224C49458BB}"/>
                <c:ext xmlns:c16="http://schemas.microsoft.com/office/drawing/2014/chart" uri="{C3380CC4-5D6E-409C-BE32-E72D297353CC}">
                  <c16:uniqueId val="{00000031-4FE3-453C-8FB5-3BBFD56BC113}"/>
                </c:ext>
              </c:extLst>
            </c:dLbl>
            <c:dLbl>
              <c:idx val="22"/>
              <c:delete val="1"/>
              <c:extLst>
                <c:ext xmlns:c15="http://schemas.microsoft.com/office/drawing/2012/chart" uri="{CE6537A1-D6FC-4f65-9D91-7224C49458BB}"/>
                <c:ext xmlns:c16="http://schemas.microsoft.com/office/drawing/2014/chart" uri="{C3380CC4-5D6E-409C-BE32-E72D297353CC}">
                  <c16:uniqueId val="{00000030-4FE3-453C-8FB5-3BBFD56BC113}"/>
                </c:ext>
              </c:extLst>
            </c:dLbl>
            <c:dLbl>
              <c:idx val="23"/>
              <c:delete val="1"/>
              <c:extLst>
                <c:ext xmlns:c15="http://schemas.microsoft.com/office/drawing/2012/chart" uri="{CE6537A1-D6FC-4f65-9D91-7224C49458BB}"/>
                <c:ext xmlns:c16="http://schemas.microsoft.com/office/drawing/2014/chart" uri="{C3380CC4-5D6E-409C-BE32-E72D297353CC}">
                  <c16:uniqueId val="{0000002F-4FE3-453C-8FB5-3BBFD56BC113}"/>
                </c:ext>
              </c:extLst>
            </c:dLbl>
            <c:dLbl>
              <c:idx val="24"/>
              <c:delete val="1"/>
              <c:extLst>
                <c:ext xmlns:c15="http://schemas.microsoft.com/office/drawing/2012/chart" uri="{CE6537A1-D6FC-4f65-9D91-7224C49458BB}"/>
                <c:ext xmlns:c16="http://schemas.microsoft.com/office/drawing/2014/chart" uri="{C3380CC4-5D6E-409C-BE32-E72D297353CC}">
                  <c16:uniqueId val="{0000002E-4FE3-453C-8FB5-3BBFD56BC113}"/>
                </c:ext>
              </c:extLst>
            </c:dLbl>
            <c:dLbl>
              <c:idx val="25"/>
              <c:delete val="1"/>
              <c:extLst>
                <c:ext xmlns:c15="http://schemas.microsoft.com/office/drawing/2012/chart" uri="{CE6537A1-D6FC-4f65-9D91-7224C49458BB}"/>
                <c:ext xmlns:c16="http://schemas.microsoft.com/office/drawing/2014/chart" uri="{C3380CC4-5D6E-409C-BE32-E72D297353CC}">
                  <c16:uniqueId val="{0000002D-4FE3-453C-8FB5-3BBFD56BC113}"/>
                </c:ext>
              </c:extLst>
            </c:dLbl>
            <c:dLbl>
              <c:idx val="26"/>
              <c:delete val="1"/>
              <c:extLst>
                <c:ext xmlns:c15="http://schemas.microsoft.com/office/drawing/2012/chart" uri="{CE6537A1-D6FC-4f65-9D91-7224C49458BB}"/>
                <c:ext xmlns:c16="http://schemas.microsoft.com/office/drawing/2014/chart" uri="{C3380CC4-5D6E-409C-BE32-E72D297353CC}">
                  <c16:uniqueId val="{0000002C-4FE3-453C-8FB5-3BBFD56BC113}"/>
                </c:ext>
              </c:extLst>
            </c:dLbl>
            <c:dLbl>
              <c:idx val="27"/>
              <c:delete val="1"/>
              <c:extLst>
                <c:ext xmlns:c15="http://schemas.microsoft.com/office/drawing/2012/chart" uri="{CE6537A1-D6FC-4f65-9D91-7224C49458BB}"/>
                <c:ext xmlns:c16="http://schemas.microsoft.com/office/drawing/2014/chart" uri="{C3380CC4-5D6E-409C-BE32-E72D297353CC}">
                  <c16:uniqueId val="{0000002B-4FE3-453C-8FB5-3BBFD56BC113}"/>
                </c:ext>
              </c:extLst>
            </c:dLbl>
            <c:dLbl>
              <c:idx val="28"/>
              <c:delete val="1"/>
              <c:extLst>
                <c:ext xmlns:c15="http://schemas.microsoft.com/office/drawing/2012/chart" uri="{CE6537A1-D6FC-4f65-9D91-7224C49458BB}"/>
                <c:ext xmlns:c16="http://schemas.microsoft.com/office/drawing/2014/chart" uri="{C3380CC4-5D6E-409C-BE32-E72D297353CC}">
                  <c16:uniqueId val="{0000002A-4FE3-453C-8FB5-3BBFD56BC113}"/>
                </c:ext>
              </c:extLst>
            </c:dLbl>
            <c:dLbl>
              <c:idx val="29"/>
              <c:delete val="1"/>
              <c:extLst>
                <c:ext xmlns:c15="http://schemas.microsoft.com/office/drawing/2012/chart" uri="{CE6537A1-D6FC-4f65-9D91-7224C49458BB}"/>
                <c:ext xmlns:c16="http://schemas.microsoft.com/office/drawing/2014/chart" uri="{C3380CC4-5D6E-409C-BE32-E72D297353CC}">
                  <c16:uniqueId val="{00000029-4FE3-453C-8FB5-3BBFD56BC113}"/>
                </c:ext>
              </c:extLst>
            </c:dLbl>
            <c:dLbl>
              <c:idx val="30"/>
              <c:delete val="1"/>
              <c:extLst>
                <c:ext xmlns:c15="http://schemas.microsoft.com/office/drawing/2012/chart" uri="{CE6537A1-D6FC-4f65-9D91-7224C49458BB}"/>
                <c:ext xmlns:c16="http://schemas.microsoft.com/office/drawing/2014/chart" uri="{C3380CC4-5D6E-409C-BE32-E72D297353CC}">
                  <c16:uniqueId val="{00000028-4FE3-453C-8FB5-3BBFD56BC113}"/>
                </c:ext>
              </c:extLst>
            </c:dLbl>
            <c:dLbl>
              <c:idx val="31"/>
              <c:delete val="1"/>
              <c:extLst>
                <c:ext xmlns:c15="http://schemas.microsoft.com/office/drawing/2012/chart" uri="{CE6537A1-D6FC-4f65-9D91-7224C49458BB}"/>
                <c:ext xmlns:c16="http://schemas.microsoft.com/office/drawing/2014/chart" uri="{C3380CC4-5D6E-409C-BE32-E72D297353CC}">
                  <c16:uniqueId val="{00000027-4FE3-453C-8FB5-3BBFD56BC113}"/>
                </c:ext>
              </c:extLst>
            </c:dLbl>
            <c:dLbl>
              <c:idx val="32"/>
              <c:delete val="1"/>
              <c:extLst>
                <c:ext xmlns:c15="http://schemas.microsoft.com/office/drawing/2012/chart" uri="{CE6537A1-D6FC-4f65-9D91-7224C49458BB}"/>
                <c:ext xmlns:c16="http://schemas.microsoft.com/office/drawing/2014/chart" uri="{C3380CC4-5D6E-409C-BE32-E72D297353CC}">
                  <c16:uniqueId val="{00000026-4FE3-453C-8FB5-3BBFD56BC113}"/>
                </c:ext>
              </c:extLst>
            </c:dLbl>
            <c:dLbl>
              <c:idx val="33"/>
              <c:delete val="1"/>
              <c:extLst>
                <c:ext xmlns:c15="http://schemas.microsoft.com/office/drawing/2012/chart" uri="{CE6537A1-D6FC-4f65-9D91-7224C49458BB}"/>
                <c:ext xmlns:c16="http://schemas.microsoft.com/office/drawing/2014/chart" uri="{C3380CC4-5D6E-409C-BE32-E72D297353CC}">
                  <c16:uniqueId val="{00000025-4FE3-453C-8FB5-3BBFD56BC113}"/>
                </c:ext>
              </c:extLst>
            </c:dLbl>
            <c:dLbl>
              <c:idx val="34"/>
              <c:delete val="1"/>
              <c:extLst>
                <c:ext xmlns:c15="http://schemas.microsoft.com/office/drawing/2012/chart" uri="{CE6537A1-D6FC-4f65-9D91-7224C49458BB}"/>
                <c:ext xmlns:c16="http://schemas.microsoft.com/office/drawing/2014/chart" uri="{C3380CC4-5D6E-409C-BE32-E72D297353CC}">
                  <c16:uniqueId val="{00000001-2ACF-4FBF-A5EE-D549C1BB9312}"/>
                </c:ext>
              </c:extLst>
            </c:dLbl>
            <c:dLbl>
              <c:idx val="35"/>
              <c:delete val="1"/>
              <c:extLst>
                <c:ext xmlns:c15="http://schemas.microsoft.com/office/drawing/2012/chart" uri="{CE6537A1-D6FC-4f65-9D91-7224C49458BB}"/>
                <c:ext xmlns:c16="http://schemas.microsoft.com/office/drawing/2014/chart" uri="{C3380CC4-5D6E-409C-BE32-E72D297353CC}">
                  <c16:uniqueId val="{00000002-65B5-4535-9A34-ACBE9F5DCE65}"/>
                </c:ext>
              </c:extLst>
            </c:dLbl>
            <c:dLbl>
              <c:idx val="36"/>
              <c:delete val="1"/>
              <c:extLst>
                <c:ext xmlns:c15="http://schemas.microsoft.com/office/drawing/2012/chart" uri="{CE6537A1-D6FC-4f65-9D91-7224C49458BB}"/>
                <c:ext xmlns:c16="http://schemas.microsoft.com/office/drawing/2014/chart" uri="{C3380CC4-5D6E-409C-BE32-E72D297353CC}">
                  <c16:uniqueId val="{00000001-E787-4591-BBBB-5088FC0A6D86}"/>
                </c:ext>
              </c:extLst>
            </c:dLbl>
            <c:dLbl>
              <c:idx val="37"/>
              <c:delete val="1"/>
              <c:extLst>
                <c:ext xmlns:c15="http://schemas.microsoft.com/office/drawing/2012/chart" uri="{CE6537A1-D6FC-4f65-9D91-7224C49458BB}"/>
                <c:ext xmlns:c16="http://schemas.microsoft.com/office/drawing/2014/chart" uri="{C3380CC4-5D6E-409C-BE32-E72D297353CC}">
                  <c16:uniqueId val="{00000000-D695-47FB-AEE0-517EFF5BBE06}"/>
                </c:ext>
              </c:extLst>
            </c:dLbl>
            <c:spPr>
              <a:noFill/>
              <a:ln>
                <a:noFill/>
              </a:ln>
              <a:effectLst/>
            </c:spPr>
            <c:txPr>
              <a:bodyPr vertOverflow="clip" horzOverflow="clip" wrap="square" lIns="91440" tIns="45720" rIns="91440" bIns="45720" anchor="ctr" anchorCtr="0">
                <a:noAutofit/>
              </a:bodyPr>
              <a:lstStyle/>
              <a:p>
                <a:pPr algn="l">
                  <a:defRPr sz="1600" b="1">
                    <a:solidFill>
                      <a:srgbClr val="357D91"/>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numRef>
              <c:f>'create graphs here!'!$C$2:$AN$2</c:f>
              <c:numCache>
                <c:formatCode>General</c:formatCode>
                <c:ptCount val="38"/>
                <c:pt idx="0">
                  <c:v>1984</c:v>
                </c:pt>
                <c:pt idx="1">
                  <c:v>1985</c:v>
                </c:pt>
                <c:pt idx="2">
                  <c:v>1986</c:v>
                </c:pt>
                <c:pt idx="3">
                  <c:v>1987</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numCache>
            </c:numRef>
          </c:cat>
          <c:val>
            <c:numRef>
              <c:f>'create graphs here!'!$C$6:$AN$6</c:f>
              <c:numCache>
                <c:formatCode>General</c:formatCode>
                <c:ptCount val="38"/>
                <c:pt idx="0">
                  <c:v>57000</c:v>
                </c:pt>
                <c:pt idx="1">
                  <c:v>57000</c:v>
                </c:pt>
                <c:pt idx="2">
                  <c:v>57000</c:v>
                </c:pt>
                <c:pt idx="3">
                  <c:v>57000</c:v>
                </c:pt>
                <c:pt idx="4">
                  <c:v>57000</c:v>
                </c:pt>
                <c:pt idx="5">
                  <c:v>57000</c:v>
                </c:pt>
                <c:pt idx="6">
                  <c:v>57000</c:v>
                </c:pt>
                <c:pt idx="7">
                  <c:v>57000</c:v>
                </c:pt>
                <c:pt idx="8">
                  <c:v>57000</c:v>
                </c:pt>
                <c:pt idx="9">
                  <c:v>57000</c:v>
                </c:pt>
                <c:pt idx="10">
                  <c:v>57000</c:v>
                </c:pt>
                <c:pt idx="11">
                  <c:v>57000</c:v>
                </c:pt>
                <c:pt idx="12">
                  <c:v>57000</c:v>
                </c:pt>
                <c:pt idx="13">
                  <c:v>57000</c:v>
                </c:pt>
                <c:pt idx="14">
                  <c:v>57000</c:v>
                </c:pt>
                <c:pt idx="15">
                  <c:v>57000</c:v>
                </c:pt>
                <c:pt idx="16">
                  <c:v>57000</c:v>
                </c:pt>
                <c:pt idx="17">
                  <c:v>57000</c:v>
                </c:pt>
                <c:pt idx="18">
                  <c:v>57000</c:v>
                </c:pt>
                <c:pt idx="19">
                  <c:v>57000</c:v>
                </c:pt>
                <c:pt idx="20">
                  <c:v>57000</c:v>
                </c:pt>
                <c:pt idx="21">
                  <c:v>57000</c:v>
                </c:pt>
                <c:pt idx="22">
                  <c:v>57000</c:v>
                </c:pt>
                <c:pt idx="23">
                  <c:v>57000</c:v>
                </c:pt>
                <c:pt idx="24">
                  <c:v>57000</c:v>
                </c:pt>
                <c:pt idx="25">
                  <c:v>57000</c:v>
                </c:pt>
                <c:pt idx="26">
                  <c:v>57000</c:v>
                </c:pt>
                <c:pt idx="27">
                  <c:v>57000</c:v>
                </c:pt>
                <c:pt idx="28">
                  <c:v>57000</c:v>
                </c:pt>
                <c:pt idx="29">
                  <c:v>57000</c:v>
                </c:pt>
                <c:pt idx="30">
                  <c:v>57000</c:v>
                </c:pt>
                <c:pt idx="31">
                  <c:v>57000</c:v>
                </c:pt>
                <c:pt idx="32">
                  <c:v>57000</c:v>
                </c:pt>
                <c:pt idx="33">
                  <c:v>57000</c:v>
                </c:pt>
                <c:pt idx="34">
                  <c:v>57000</c:v>
                </c:pt>
                <c:pt idx="35">
                  <c:v>57000</c:v>
                </c:pt>
                <c:pt idx="36">
                  <c:v>57000</c:v>
                </c:pt>
                <c:pt idx="37">
                  <c:v>57000</c:v>
                </c:pt>
              </c:numCache>
            </c:numRef>
          </c:val>
          <c:smooth val="0"/>
          <c:extLst>
            <c:ext xmlns:c16="http://schemas.microsoft.com/office/drawing/2014/chart" uri="{C3380CC4-5D6E-409C-BE32-E72D297353CC}">
              <c16:uniqueId val="{00000024-4FE3-453C-8FB5-3BBFD56BC113}"/>
            </c:ext>
          </c:extLst>
        </c:ser>
        <c:dLbls>
          <c:showLegendKey val="0"/>
          <c:showVal val="0"/>
          <c:showCatName val="0"/>
          <c:showSerName val="0"/>
          <c:showPercent val="0"/>
          <c:showBubbleSize val="0"/>
        </c:dLbls>
        <c:marker val="1"/>
        <c:smooth val="0"/>
        <c:axId val="62415616"/>
        <c:axId val="62417152"/>
      </c:lineChart>
      <c:catAx>
        <c:axId val="62415616"/>
        <c:scaling>
          <c:orientation val="minMax"/>
        </c:scaling>
        <c:delete val="0"/>
        <c:axPos val="b"/>
        <c:numFmt formatCode="0" sourceLinked="0"/>
        <c:majorTickMark val="none"/>
        <c:minorTickMark val="none"/>
        <c:tickLblPos val="nextTo"/>
        <c:txPr>
          <a:bodyPr rot="-2700000" vert="horz"/>
          <a:lstStyle/>
          <a:p>
            <a:pPr>
              <a:defRPr sz="1400"/>
            </a:pPr>
            <a:endParaRPr lang="en-US"/>
          </a:p>
        </c:txPr>
        <c:crossAx val="62417152"/>
        <c:crossesAt val="0"/>
        <c:auto val="1"/>
        <c:lblAlgn val="ctr"/>
        <c:lblOffset val="100"/>
        <c:tickMarkSkip val="1"/>
        <c:noMultiLvlLbl val="0"/>
      </c:catAx>
      <c:valAx>
        <c:axId val="62417152"/>
        <c:scaling>
          <c:orientation val="minMax"/>
          <c:min val="0"/>
        </c:scaling>
        <c:delete val="0"/>
        <c:axPos val="l"/>
        <c:title>
          <c:tx>
            <c:rich>
              <a:bodyPr rot="-5400000" vert="horz"/>
              <a:lstStyle/>
              <a:p>
                <a:pPr>
                  <a:defRPr sz="1800"/>
                </a:pPr>
                <a:r>
                  <a:rPr lang="en-US" sz="1800"/>
                  <a:t>Abundance (Acres)</a:t>
                </a:r>
              </a:p>
            </c:rich>
          </c:tx>
          <c:overlay val="0"/>
        </c:title>
        <c:numFmt formatCode="#,##0" sourceLinked="0"/>
        <c:majorTickMark val="out"/>
        <c:minorTickMark val="none"/>
        <c:tickLblPos val="nextTo"/>
        <c:txPr>
          <a:bodyPr/>
          <a:lstStyle/>
          <a:p>
            <a:pPr>
              <a:defRPr sz="1400"/>
            </a:pPr>
            <a:endParaRPr lang="en-US"/>
          </a:p>
        </c:txPr>
        <c:crossAx val="62415616"/>
        <c:crosses val="autoZero"/>
        <c:crossBetween val="between"/>
      </c:valAx>
      <c:spPr>
        <a:noFill/>
        <a:ln>
          <a:noFill/>
        </a:ln>
      </c:spPr>
    </c:plotArea>
    <c:plotVisOnly val="1"/>
    <c:dispBlanksAs val="gap"/>
    <c:showDLblsOverMax val="0"/>
  </c:chart>
  <c:spPr>
    <a:noFill/>
    <a:ln>
      <a:noFill/>
    </a:ln>
  </c:sp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113" workbookViewId="0" zoomToFit="1"/>
  </sheetViews>
  <pageMargins left="0.7" right="0.7" top="0.75" bottom="0.75" header="0.3" footer="0.3"/>
  <pageSetup orientation="landscape" horizontalDpi="1200" verticalDpi="1200"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3" workbookViewId="0" zoomToFit="1"/>
  </sheetViews>
  <pageMargins left="0.25" right="0.25" top="0.75" bottom="0.75" header="0.3" footer="0.3"/>
  <pageSetup orientation="landscape" horizontalDpi="1200" verticalDpi="1200" r:id="rId1"/>
  <drawing r:id="rId2"/>
</chartsheet>
</file>

<file path=xl/ctrlProps/ctrlProp1.xml><?xml version="1.0" encoding="utf-8"?>
<formControlPr xmlns="http://schemas.microsoft.com/office/spreadsheetml/2009/9/main" objectType="Drop" dropLines="25" dropStyle="combo" dx="20" fmlaLink="$A$1" fmlaRange="'data for graphs'!$D$2:$D$76" noThreeD="1" sel="17"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8</xdr:row>
          <xdr:rowOff>0</xdr:rowOff>
        </xdr:from>
        <xdr:to>
          <xdr:col>1</xdr:col>
          <xdr:colOff>2352675</xdr:colOff>
          <xdr:row>9</xdr:row>
          <xdr:rowOff>38100</xdr:rowOff>
        </xdr:to>
        <xdr:sp macro="" textlink="">
          <xdr:nvSpPr>
            <xdr:cNvPr id="7169" name="Drop Down 1" hidden="1">
              <a:extLst>
                <a:ext uri="{63B3BB69-23CF-44E3-9099-C40C66FF867C}">
                  <a14:compatExt spid="_x0000_s7169"/>
                </a:ext>
                <a:ext uri="{FF2B5EF4-FFF2-40B4-BE49-F238E27FC236}">
                  <a16:creationId xmlns:a16="http://schemas.microsoft.com/office/drawing/2014/main" id="{00000000-0008-0000-02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0.08999</cdr:x>
      <cdr:y>0.9409</cdr:y>
    </cdr:from>
    <cdr:to>
      <cdr:x>0.96461</cdr:x>
      <cdr:y>0.98588</cdr:y>
    </cdr:to>
    <cdr:sp macro="" textlink="'create graphs here!'!$B$5">
      <cdr:nvSpPr>
        <cdr:cNvPr id="2" name="TextBox 1"/>
        <cdr:cNvSpPr txBox="1"/>
      </cdr:nvSpPr>
      <cdr:spPr>
        <a:xfrm xmlns:a="http://schemas.openxmlformats.org/drawingml/2006/main">
          <a:off x="779518" y="5908761"/>
          <a:ext cx="7576200" cy="2824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16E0327-BD4B-4B49-9A05-5D6B6C904F08}" type="TxLink">
            <a:rPr lang="en-US" sz="1400" b="0" i="0" u="none" strike="noStrike">
              <a:solidFill>
                <a:srgbClr val="000000"/>
              </a:solidFill>
              <a:latin typeface="Arialri"/>
            </a:rPr>
            <a:pPr/>
            <a:t>Partial data for 1984, 1986, 1999; No data for 2001 </a:t>
          </a:fld>
          <a:endParaRPr lang="en-US" sz="1400" b="0"/>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491283" cy="6288186"/>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0.09928</cdr:x>
      <cdr:y>0.9437</cdr:y>
    </cdr:from>
    <cdr:to>
      <cdr:x>0.9739</cdr:x>
      <cdr:y>0.98868</cdr:y>
    </cdr:to>
    <cdr:sp macro="" textlink="'create graphs here!'!$B$5">
      <cdr:nvSpPr>
        <cdr:cNvPr id="2" name="TextBox 1"/>
        <cdr:cNvSpPr txBox="1"/>
      </cdr:nvSpPr>
      <cdr:spPr>
        <a:xfrm xmlns:a="http://schemas.openxmlformats.org/drawingml/2006/main">
          <a:off x="942969" y="5942564"/>
          <a:ext cx="8307615" cy="2832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16E0327-BD4B-4B49-9A05-5D6B6C904F08}" type="TxLink">
            <a:rPr lang="en-US" sz="1200" b="0" i="0" u="none" strike="noStrike">
              <a:solidFill>
                <a:srgbClr val="000000"/>
              </a:solidFill>
              <a:latin typeface="Arialri"/>
              <a:cs typeface="Arial"/>
            </a:rPr>
            <a:pPr/>
            <a:t>Partial data for 1984, 1986, 1999; No data for 2001 </a:t>
          </a:fld>
          <a:endParaRPr lang="en-US" sz="1200" b="0"/>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23"/>
  <sheetViews>
    <sheetView workbookViewId="0">
      <selection activeCell="D46" sqref="D46"/>
    </sheetView>
  </sheetViews>
  <sheetFormatPr defaultRowHeight="12.75" x14ac:dyDescent="0.2"/>
  <sheetData>
    <row r="2" spans="1:1" x14ac:dyDescent="0.2">
      <c r="A2" s="27" t="s">
        <v>235</v>
      </c>
    </row>
    <row r="3" spans="1:1" x14ac:dyDescent="0.2">
      <c r="A3" s="10" t="s">
        <v>236</v>
      </c>
    </row>
    <row r="4" spans="1:1" x14ac:dyDescent="0.2">
      <c r="A4" s="10" t="s">
        <v>237</v>
      </c>
    </row>
    <row r="5" spans="1:1" x14ac:dyDescent="0.2">
      <c r="A5" s="10" t="s">
        <v>238</v>
      </c>
    </row>
    <row r="6" spans="1:1" x14ac:dyDescent="0.2">
      <c r="A6" s="10" t="s">
        <v>170</v>
      </c>
    </row>
    <row r="7" spans="1:1" x14ac:dyDescent="0.2">
      <c r="A7" s="10"/>
    </row>
    <row r="8" spans="1:1" x14ac:dyDescent="0.2">
      <c r="A8" s="27" t="s">
        <v>239</v>
      </c>
    </row>
    <row r="9" spans="1:1" x14ac:dyDescent="0.2">
      <c r="A9" s="10" t="s">
        <v>240</v>
      </c>
    </row>
    <row r="10" spans="1:1" x14ac:dyDescent="0.2">
      <c r="A10" s="10" t="s">
        <v>241</v>
      </c>
    </row>
    <row r="11" spans="1:1" x14ac:dyDescent="0.2">
      <c r="A11" s="10" t="s">
        <v>242</v>
      </c>
    </row>
    <row r="12" spans="1:1" x14ac:dyDescent="0.2">
      <c r="A12" s="10" t="s">
        <v>248</v>
      </c>
    </row>
    <row r="13" spans="1:1" x14ac:dyDescent="0.2">
      <c r="A13" s="10"/>
    </row>
    <row r="14" spans="1:1" x14ac:dyDescent="0.2">
      <c r="A14" s="27" t="s">
        <v>249</v>
      </c>
    </row>
    <row r="15" spans="1:1" x14ac:dyDescent="0.2">
      <c r="A15" s="10" t="s">
        <v>250</v>
      </c>
    </row>
    <row r="16" spans="1:1" x14ac:dyDescent="0.2">
      <c r="A16" s="10" t="s">
        <v>194</v>
      </c>
    </row>
    <row r="17" spans="1:1" x14ac:dyDescent="0.2">
      <c r="A17" s="10" t="s">
        <v>251</v>
      </c>
    </row>
    <row r="18" spans="1:1" x14ac:dyDescent="0.2">
      <c r="A18" s="10" t="s">
        <v>243</v>
      </c>
    </row>
    <row r="19" spans="1:1" x14ac:dyDescent="0.2">
      <c r="A19" s="10" t="s">
        <v>244</v>
      </c>
    </row>
    <row r="21" spans="1:1" x14ac:dyDescent="0.2">
      <c r="A21" s="27" t="s">
        <v>245</v>
      </c>
    </row>
    <row r="22" spans="1:1" x14ac:dyDescent="0.2">
      <c r="A22" s="10" t="s">
        <v>246</v>
      </c>
    </row>
    <row r="23" spans="1:1" x14ac:dyDescent="0.2">
      <c r="A23" s="10" t="s">
        <v>247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85"/>
  <sheetViews>
    <sheetView zoomScaleNormal="100" workbookViewId="0">
      <pane ySplit="1" topLeftCell="A2" activePane="bottomLeft" state="frozen"/>
      <selection pane="bottomLeft" activeCell="A2" sqref="A2:CL85"/>
    </sheetView>
  </sheetViews>
  <sheetFormatPr defaultColWidth="8.85546875" defaultRowHeight="15" x14ac:dyDescent="0.25"/>
  <cols>
    <col min="1" max="1" width="8.5703125" style="2" bestFit="1" customWidth="1"/>
    <col min="2" max="2" width="32.7109375" style="2" customWidth="1"/>
    <col min="3" max="3" width="11.7109375" style="2" customWidth="1"/>
    <col min="4" max="4" width="44.42578125" style="2" customWidth="1"/>
    <col min="5" max="5" width="5" style="2" customWidth="1"/>
    <col min="6" max="49" width="8.85546875" style="2" hidden="1" customWidth="1"/>
    <col min="50" max="57" width="8.5703125" style="2" hidden="1" customWidth="1"/>
    <col min="58" max="59" width="8.7109375" style="2" hidden="1" customWidth="1"/>
    <col min="60" max="65" width="8.5703125" style="2" hidden="1" customWidth="1"/>
    <col min="66" max="67" width="8.5703125" style="1" hidden="1" customWidth="1"/>
    <col min="68" max="70" width="8.7109375" style="2" hidden="1" customWidth="1"/>
    <col min="71" max="71" width="6.140625" style="2" hidden="1" customWidth="1"/>
    <col min="72" max="72" width="8.85546875" style="3" hidden="1" customWidth="1"/>
    <col min="73" max="73" width="8.85546875" hidden="1" customWidth="1"/>
    <col min="74" max="74" width="8.5703125" hidden="1" customWidth="1"/>
    <col min="75" max="81" width="12" hidden="1" customWidth="1"/>
    <col min="82" max="82" width="14.42578125" customWidth="1"/>
    <col min="83" max="85" width="12" customWidth="1"/>
    <col min="86" max="86" width="12" style="24" customWidth="1"/>
    <col min="87" max="87" width="12" style="3" customWidth="1"/>
    <col min="88" max="88" width="12" style="24" customWidth="1"/>
    <col min="89" max="89" width="22.7109375" style="38" bestFit="1" customWidth="1"/>
  </cols>
  <sheetData>
    <row r="1" spans="1:90" s="28" customFormat="1" ht="12.75" x14ac:dyDescent="0.2">
      <c r="A1" s="28" t="s">
        <v>104</v>
      </c>
      <c r="B1" s="28" t="s">
        <v>105</v>
      </c>
      <c r="C1" s="28" t="s">
        <v>191</v>
      </c>
      <c r="D1" s="28" t="s">
        <v>192</v>
      </c>
      <c r="E1" s="28" t="s">
        <v>106</v>
      </c>
      <c r="F1" s="28">
        <v>1984</v>
      </c>
      <c r="G1" s="28" t="s">
        <v>135</v>
      </c>
      <c r="H1" s="28">
        <v>1985</v>
      </c>
      <c r="I1" s="28" t="s">
        <v>136</v>
      </c>
      <c r="J1" s="28">
        <v>1986</v>
      </c>
      <c r="K1" s="28" t="s">
        <v>137</v>
      </c>
      <c r="L1" s="28">
        <v>1987</v>
      </c>
      <c r="M1" s="28" t="s">
        <v>138</v>
      </c>
      <c r="N1" s="28">
        <v>1989</v>
      </c>
      <c r="O1" s="28" t="s">
        <v>257</v>
      </c>
      <c r="P1" s="28">
        <v>1990</v>
      </c>
      <c r="Q1" s="28" t="s">
        <v>139</v>
      </c>
      <c r="R1" s="28">
        <v>1991</v>
      </c>
      <c r="S1" s="28" t="s">
        <v>140</v>
      </c>
      <c r="T1" s="28">
        <v>1992</v>
      </c>
      <c r="U1" s="28" t="s">
        <v>141</v>
      </c>
      <c r="V1" s="28">
        <v>1993</v>
      </c>
      <c r="W1" s="28" t="s">
        <v>142</v>
      </c>
      <c r="X1" s="28">
        <v>1994</v>
      </c>
      <c r="Y1" s="28" t="s">
        <v>143</v>
      </c>
      <c r="Z1" s="28">
        <v>1995</v>
      </c>
      <c r="AA1" s="28" t="s">
        <v>144</v>
      </c>
      <c r="AB1" s="28">
        <v>1996</v>
      </c>
      <c r="AC1" s="28" t="s">
        <v>145</v>
      </c>
      <c r="AD1" s="28">
        <v>1997</v>
      </c>
      <c r="AE1" s="28" t="s">
        <v>146</v>
      </c>
      <c r="AF1" s="28">
        <v>1998</v>
      </c>
      <c r="AG1" s="28" t="s">
        <v>147</v>
      </c>
      <c r="AH1" s="28">
        <v>1999</v>
      </c>
      <c r="AI1" s="28" t="s">
        <v>148</v>
      </c>
      <c r="AJ1" s="28">
        <v>2000</v>
      </c>
      <c r="AK1" s="28" t="s">
        <v>149</v>
      </c>
      <c r="AL1" s="28">
        <v>2001</v>
      </c>
      <c r="AM1" s="28" t="s">
        <v>150</v>
      </c>
      <c r="AN1" s="28">
        <v>2002</v>
      </c>
      <c r="AO1" s="28" t="s">
        <v>151</v>
      </c>
      <c r="AP1" s="28">
        <v>2003</v>
      </c>
      <c r="AQ1" s="28" t="s">
        <v>152</v>
      </c>
      <c r="AR1" s="28">
        <v>2004</v>
      </c>
      <c r="AS1" s="28" t="s">
        <v>153</v>
      </c>
      <c r="AT1" s="28">
        <v>2005</v>
      </c>
      <c r="AU1" s="28" t="s">
        <v>154</v>
      </c>
      <c r="AV1" s="28">
        <v>2006</v>
      </c>
      <c r="AW1" s="28" t="s">
        <v>155</v>
      </c>
      <c r="AX1" s="28">
        <v>2007</v>
      </c>
      <c r="AY1" s="28" t="s">
        <v>156</v>
      </c>
      <c r="AZ1" s="28">
        <v>2008</v>
      </c>
      <c r="BA1" s="28" t="s">
        <v>157</v>
      </c>
      <c r="BB1" s="28">
        <v>2009</v>
      </c>
      <c r="BC1" s="28" t="s">
        <v>158</v>
      </c>
      <c r="BD1" s="28">
        <v>2010</v>
      </c>
      <c r="BE1" s="28" t="s">
        <v>159</v>
      </c>
      <c r="BF1" s="28">
        <v>2011</v>
      </c>
      <c r="BG1" s="28" t="s">
        <v>160</v>
      </c>
      <c r="BH1" s="28">
        <v>2012</v>
      </c>
      <c r="BI1" s="28" t="s">
        <v>161</v>
      </c>
      <c r="BJ1" s="28">
        <v>2013</v>
      </c>
      <c r="BK1" s="28" t="s">
        <v>162</v>
      </c>
      <c r="BL1" s="28">
        <v>2014</v>
      </c>
      <c r="BM1" s="28" t="s">
        <v>163</v>
      </c>
      <c r="BN1" s="28">
        <v>2015</v>
      </c>
      <c r="BO1" s="28" t="s">
        <v>164</v>
      </c>
      <c r="BP1" s="28">
        <v>2016</v>
      </c>
      <c r="BQ1" s="28" t="s">
        <v>165</v>
      </c>
      <c r="BR1" s="28">
        <v>2017</v>
      </c>
      <c r="BS1" s="28" t="s">
        <v>171</v>
      </c>
      <c r="BT1" s="29">
        <v>2018</v>
      </c>
      <c r="BU1" s="28" t="s">
        <v>219</v>
      </c>
      <c r="BV1" s="28">
        <v>2019</v>
      </c>
      <c r="BW1" s="28" t="s">
        <v>220</v>
      </c>
      <c r="BX1" s="28">
        <v>2020</v>
      </c>
      <c r="BY1" s="28" t="s">
        <v>223</v>
      </c>
      <c r="BZ1" s="28">
        <v>2021</v>
      </c>
      <c r="CA1" s="28" t="s">
        <v>224</v>
      </c>
      <c r="CB1" s="28">
        <v>2022</v>
      </c>
      <c r="CC1" s="28" t="s">
        <v>228</v>
      </c>
      <c r="CD1" s="28">
        <v>2023</v>
      </c>
      <c r="CE1" s="28" t="s">
        <v>252</v>
      </c>
      <c r="CF1" s="28">
        <v>2024</v>
      </c>
      <c r="CG1" s="28" t="s">
        <v>256</v>
      </c>
      <c r="CH1" s="30" t="s">
        <v>225</v>
      </c>
      <c r="CI1" s="29" t="s">
        <v>226</v>
      </c>
      <c r="CJ1" s="30" t="s">
        <v>227</v>
      </c>
      <c r="CK1" s="37" t="s">
        <v>0</v>
      </c>
      <c r="CL1" s="28" t="s">
        <v>195</v>
      </c>
    </row>
    <row r="2" spans="1:90" x14ac:dyDescent="0.25">
      <c r="A2" t="s">
        <v>1</v>
      </c>
      <c r="B2" t="s">
        <v>2</v>
      </c>
      <c r="C2" t="s">
        <v>187</v>
      </c>
      <c r="D2" t="str">
        <f>CONCATENATE(B2, " ", C2)</f>
        <v>Northern Chesapeake Bay Segment 1 (Tidal Fresh)</v>
      </c>
      <c r="E2">
        <v>1.1000000000000001</v>
      </c>
      <c r="F2" s="3">
        <v>18.039029999999997</v>
      </c>
      <c r="G2" s="3"/>
      <c r="H2" s="3">
        <v>42.675896999999999</v>
      </c>
      <c r="I2" s="3"/>
      <c r="J2" s="3">
        <v>7.9816529999999997</v>
      </c>
      <c r="K2" s="3"/>
      <c r="L2" s="3">
        <v>8.1793409999999991</v>
      </c>
      <c r="M2" s="3"/>
      <c r="N2" s="3">
        <v>10.551596999999997</v>
      </c>
      <c r="O2" s="3"/>
      <c r="P2" s="3">
        <v>29.850887999999998</v>
      </c>
      <c r="Q2" s="3"/>
      <c r="R2" s="3">
        <v>87.526362000000006</v>
      </c>
      <c r="S2" s="3"/>
      <c r="T2" s="3">
        <v>72.23025299999999</v>
      </c>
      <c r="U2" s="3"/>
      <c r="V2" s="3">
        <v>109.27204199999998</v>
      </c>
      <c r="W2" s="3"/>
      <c r="X2" s="3">
        <v>297.347463</v>
      </c>
      <c r="Y2" s="3"/>
      <c r="Z2" s="3">
        <v>355.17120299999993</v>
      </c>
      <c r="AA2" s="3"/>
      <c r="AB2" s="3">
        <v>323.12103599999995</v>
      </c>
      <c r="AC2" s="3"/>
      <c r="AD2" s="3">
        <v>351.73637400000001</v>
      </c>
      <c r="AE2" s="3"/>
      <c r="AF2" s="3">
        <v>359.372073</v>
      </c>
      <c r="AG2" s="3"/>
      <c r="AH2" s="9">
        <v>174.97859099999999</v>
      </c>
      <c r="AI2" s="9" t="s">
        <v>108</v>
      </c>
      <c r="AJ2" s="3">
        <v>466.84021199999995</v>
      </c>
      <c r="AK2" s="3"/>
      <c r="AL2" s="3">
        <v>571.19476499999996</v>
      </c>
      <c r="AM2" s="3"/>
      <c r="AN2" s="3">
        <v>639.27356999999995</v>
      </c>
      <c r="AO2" s="3"/>
      <c r="AP2" s="3">
        <v>565.115859</v>
      </c>
      <c r="AQ2" s="3"/>
      <c r="AR2" s="3">
        <v>622.91488800000002</v>
      </c>
      <c r="AS2" s="3"/>
      <c r="AT2" s="3">
        <v>742.93621499999995</v>
      </c>
      <c r="AU2" s="3"/>
      <c r="AV2" s="3">
        <v>606.85273800000004</v>
      </c>
      <c r="AW2" s="3"/>
      <c r="AX2" s="3">
        <v>833.82327299999997</v>
      </c>
      <c r="AY2" s="3"/>
      <c r="AZ2" s="3">
        <v>1007.2944929999999</v>
      </c>
      <c r="BA2" s="3"/>
      <c r="BB2" s="3">
        <v>1078.8328379999998</v>
      </c>
      <c r="BC2" s="3"/>
      <c r="BD2" s="3">
        <v>845.95637399999987</v>
      </c>
      <c r="BE2" s="3"/>
      <c r="BF2" s="3">
        <v>496.913499</v>
      </c>
      <c r="BG2" s="3"/>
      <c r="BH2" s="3">
        <v>460.88486099999994</v>
      </c>
      <c r="BI2" s="3"/>
      <c r="BJ2" s="3">
        <v>567.88349099999994</v>
      </c>
      <c r="BK2" s="3"/>
      <c r="BL2" s="3">
        <v>529.72970699999996</v>
      </c>
      <c r="BM2" s="3"/>
      <c r="BN2" s="3">
        <v>477.41651999999993</v>
      </c>
      <c r="BO2" s="3"/>
      <c r="BP2" s="4">
        <v>575.93927699999995</v>
      </c>
      <c r="BQ2" s="4"/>
      <c r="BR2" s="4">
        <v>516.08923499999992</v>
      </c>
      <c r="BS2" s="4"/>
      <c r="BT2" s="3">
        <v>523.70022299999994</v>
      </c>
      <c r="BV2">
        <v>805.89984299999992</v>
      </c>
      <c r="BX2" s="23">
        <v>773.23190099999999</v>
      </c>
      <c r="BZ2">
        <v>822.3079469999999</v>
      </c>
      <c r="CB2">
        <v>785.36500199999989</v>
      </c>
      <c r="CD2" s="35">
        <v>455.21683100000001</v>
      </c>
      <c r="CE2" s="35"/>
      <c r="CF2" s="35">
        <v>664.19352950000007</v>
      </c>
      <c r="CH2" s="24">
        <f>(CF2-CD2)/CD2</f>
        <v>0.45907067636521559</v>
      </c>
      <c r="CI2" s="3">
        <f>CF2-CD2</f>
        <v>208.97669850000005</v>
      </c>
      <c r="CJ2" s="24">
        <f>CF2/CK2</f>
        <v>0.88089327519893912</v>
      </c>
      <c r="CK2" s="38">
        <v>754</v>
      </c>
      <c r="CL2" t="s">
        <v>196</v>
      </c>
    </row>
    <row r="3" spans="1:90" x14ac:dyDescent="0.25">
      <c r="A3" t="s">
        <v>3</v>
      </c>
      <c r="B3" t="s">
        <v>4</v>
      </c>
      <c r="C3" t="s">
        <v>187</v>
      </c>
      <c r="D3" t="str">
        <f>CONCATENATE(B3, " ", C3)</f>
        <v>Northern Chesapeake Bay Segment 2 (Tidal Fresh)</v>
      </c>
      <c r="E3">
        <v>1.2</v>
      </c>
      <c r="F3" s="3">
        <v>5362.2622889999993</v>
      </c>
      <c r="G3" s="3"/>
      <c r="H3" s="3">
        <v>5038.8694319999995</v>
      </c>
      <c r="I3" s="3"/>
      <c r="J3" s="3">
        <v>5805.0092759999989</v>
      </c>
      <c r="K3" s="3"/>
      <c r="L3" s="3">
        <v>5478.3545669999994</v>
      </c>
      <c r="M3" s="3"/>
      <c r="N3" s="3">
        <v>4805.9682569999995</v>
      </c>
      <c r="O3" s="3"/>
      <c r="P3" s="3">
        <v>4381.1861669999998</v>
      </c>
      <c r="Q3" s="3"/>
      <c r="R3" s="3">
        <v>4135.2375839999995</v>
      </c>
      <c r="S3" s="3"/>
      <c r="T3" s="3">
        <v>4368.4600019999998</v>
      </c>
      <c r="U3" s="3"/>
      <c r="V3" s="3">
        <v>4322.3739869999999</v>
      </c>
      <c r="W3" s="3"/>
      <c r="X3" s="3">
        <v>6401.4092609999998</v>
      </c>
      <c r="Y3" s="3"/>
      <c r="Z3" s="3">
        <v>4825.8111900000004</v>
      </c>
      <c r="AA3" s="3"/>
      <c r="AB3" s="3">
        <v>4981.7623109999995</v>
      </c>
      <c r="AC3" s="3"/>
      <c r="AD3" s="3">
        <v>5801.2779149999997</v>
      </c>
      <c r="AE3" s="3"/>
      <c r="AF3" s="3">
        <v>5349.0419039999997</v>
      </c>
      <c r="AG3" s="3"/>
      <c r="AH3" s="9">
        <v>6240.9360269999997</v>
      </c>
      <c r="AI3" s="9" t="s">
        <v>108</v>
      </c>
      <c r="AJ3" s="3">
        <v>7301.0379270000003</v>
      </c>
      <c r="AK3" s="3"/>
      <c r="AL3" s="3">
        <v>7411.5949409999994</v>
      </c>
      <c r="AM3" s="3"/>
      <c r="AN3" s="3">
        <v>8588.0115179999993</v>
      </c>
      <c r="AO3" s="3"/>
      <c r="AP3" s="3">
        <v>7003.9128629999996</v>
      </c>
      <c r="AQ3" s="3"/>
      <c r="AR3" s="3">
        <v>9480.9929249999986</v>
      </c>
      <c r="AS3" s="3"/>
      <c r="AT3" s="3">
        <v>8449.6299180000005</v>
      </c>
      <c r="AU3" s="3"/>
      <c r="AV3" s="3">
        <v>8742.9741990000002</v>
      </c>
      <c r="AW3" s="3"/>
      <c r="AX3" s="3">
        <v>11725.789586999999</v>
      </c>
      <c r="AY3" s="3"/>
      <c r="AZ3" s="3">
        <v>14193.776000999998</v>
      </c>
      <c r="BA3" s="3"/>
      <c r="BB3" s="3">
        <v>14182.458363</v>
      </c>
      <c r="BC3" s="3"/>
      <c r="BD3" s="3">
        <v>13272.747608999998</v>
      </c>
      <c r="BE3" s="3"/>
      <c r="BF3" s="3">
        <v>8479.3325399999994</v>
      </c>
      <c r="BG3" s="3"/>
      <c r="BH3" s="3">
        <v>6023.9240249999993</v>
      </c>
      <c r="BI3" s="3"/>
      <c r="BJ3" s="3">
        <v>6442.4789430000001</v>
      </c>
      <c r="BK3" s="3"/>
      <c r="BL3" s="3">
        <v>6908.207159999999</v>
      </c>
      <c r="BM3" s="3"/>
      <c r="BN3" s="3">
        <v>7696.4880599999997</v>
      </c>
      <c r="BO3" s="3"/>
      <c r="BP3" s="4">
        <v>8616.7751219999991</v>
      </c>
      <c r="BQ3" s="4"/>
      <c r="BR3" s="4">
        <v>9083.7883110000002</v>
      </c>
      <c r="BS3" s="4"/>
      <c r="BT3" s="3">
        <v>8638.2736919999988</v>
      </c>
      <c r="BV3">
        <v>8497.2974369999993</v>
      </c>
      <c r="BX3">
        <v>9199.8805889999985</v>
      </c>
      <c r="BZ3">
        <v>10332.361007999998</v>
      </c>
      <c r="CB3">
        <v>10549.447142999999</v>
      </c>
      <c r="CD3" s="35">
        <v>10666.682692999999</v>
      </c>
      <c r="CE3" s="35"/>
      <c r="CF3" s="35">
        <v>10925.352207</v>
      </c>
      <c r="CH3" s="24">
        <f>(CF3-CD3)/CD3</f>
        <v>2.4250230502286592E-2</v>
      </c>
      <c r="CI3" s="3">
        <f>CF3-CD3</f>
        <v>258.66951400000107</v>
      </c>
      <c r="CJ3" s="24">
        <f>CF3/CK3</f>
        <v>0.89927995777430236</v>
      </c>
      <c r="CK3" s="38">
        <v>12149</v>
      </c>
      <c r="CL3" t="s">
        <v>196</v>
      </c>
    </row>
    <row r="4" spans="1:90" x14ac:dyDescent="0.25">
      <c r="A4" s="12" t="s">
        <v>179</v>
      </c>
      <c r="B4" s="12" t="s">
        <v>178</v>
      </c>
      <c r="C4" s="12" t="s">
        <v>187</v>
      </c>
      <c r="D4" t="str">
        <f>CONCATENATE(B4, " ", C4)</f>
        <v>Northern Chesapeake Bay (Tidal Fresh)</v>
      </c>
      <c r="E4" s="12">
        <v>1</v>
      </c>
      <c r="F4" s="13">
        <f>SUM(F2:F3)</f>
        <v>5380.3013189999992</v>
      </c>
      <c r="G4" s="13"/>
      <c r="H4" s="13">
        <f>SUM(H2:H3)</f>
        <v>5081.5453289999996</v>
      </c>
      <c r="I4" s="13"/>
      <c r="J4" s="13">
        <f>SUM(J2:J3)</f>
        <v>5812.9909289999987</v>
      </c>
      <c r="K4" s="13"/>
      <c r="L4" s="13">
        <f>SUM(L2:L3)</f>
        <v>5486.5339079999994</v>
      </c>
      <c r="M4" s="13"/>
      <c r="N4" s="13">
        <f>SUM(N2:N3)</f>
        <v>4816.5198539999992</v>
      </c>
      <c r="O4" s="13"/>
      <c r="P4" s="13">
        <f>SUM(P2:P3)</f>
        <v>4411.0370549999998</v>
      </c>
      <c r="Q4" s="13"/>
      <c r="R4" s="13">
        <f>SUM(R2:R3)</f>
        <v>4222.7639459999991</v>
      </c>
      <c r="S4" s="13"/>
      <c r="T4" s="13">
        <f>SUM(T2:T3)</f>
        <v>4440.6902549999995</v>
      </c>
      <c r="U4" s="13"/>
      <c r="V4" s="13">
        <f>SUM(V2:V3)</f>
        <v>4431.6460289999995</v>
      </c>
      <c r="W4" s="13"/>
      <c r="X4" s="13">
        <f>SUM(X2:X3)</f>
        <v>6698.7567239999998</v>
      </c>
      <c r="Y4" s="13"/>
      <c r="Z4" s="13">
        <f>SUM(Z2:Z3)</f>
        <v>5180.9823930000002</v>
      </c>
      <c r="AA4" s="13"/>
      <c r="AB4" s="13">
        <f>SUM(AB2:AB3)</f>
        <v>5304.883346999999</v>
      </c>
      <c r="AC4" s="13"/>
      <c r="AD4" s="13">
        <f>SUM(AD2:AD3)</f>
        <v>6153.0142889999997</v>
      </c>
      <c r="AE4" s="13"/>
      <c r="AF4" s="13">
        <f>SUM(AF2:AF3)</f>
        <v>5708.4139770000002</v>
      </c>
      <c r="AG4" s="13"/>
      <c r="AH4" s="13">
        <f>SUM(AH2:AH3)</f>
        <v>6415.9146179999998</v>
      </c>
      <c r="AI4" s="18" t="s">
        <v>108</v>
      </c>
      <c r="AJ4" s="13">
        <f>SUM(AJ2:AJ3)</f>
        <v>7767.8781390000004</v>
      </c>
      <c r="AK4" s="13"/>
      <c r="AL4" s="13">
        <f>SUM(AL2:AL3)</f>
        <v>7982.7897059999996</v>
      </c>
      <c r="AM4" s="13"/>
      <c r="AN4" s="13">
        <f>SUM(AN2:AN3)</f>
        <v>9227.2850879999987</v>
      </c>
      <c r="AO4" s="13"/>
      <c r="AP4" s="13">
        <f>SUM(AP2:AP3)</f>
        <v>7569.0287219999991</v>
      </c>
      <c r="AQ4" s="13"/>
      <c r="AR4" s="13">
        <f>SUM(AR2:AR3)</f>
        <v>10103.907812999998</v>
      </c>
      <c r="AS4" s="13"/>
      <c r="AT4" s="13">
        <f>SUM(AT2:AT3)</f>
        <v>9192.5661330000003</v>
      </c>
      <c r="AU4" s="13"/>
      <c r="AV4" s="13">
        <f>SUM(AV2:AV3)</f>
        <v>9349.8269369999998</v>
      </c>
      <c r="AW4" s="13"/>
      <c r="AX4" s="13">
        <f>SUM(AX2:AX3)</f>
        <v>12559.612859999999</v>
      </c>
      <c r="AY4" s="13"/>
      <c r="AZ4" s="13">
        <f>SUM(AZ2:AZ3)</f>
        <v>15201.070493999998</v>
      </c>
      <c r="BA4" s="13"/>
      <c r="BB4" s="13">
        <f>SUM(BB2:BB3)</f>
        <v>15261.291201</v>
      </c>
      <c r="BC4" s="13"/>
      <c r="BD4" s="13">
        <f>SUM(BD2:BD3)</f>
        <v>14118.703982999998</v>
      </c>
      <c r="BE4" s="13"/>
      <c r="BF4" s="13">
        <f>SUM(BF2:BF3)</f>
        <v>8976.2460389999997</v>
      </c>
      <c r="BG4" s="13"/>
      <c r="BH4" s="13">
        <f>SUM(BH2:BH3)</f>
        <v>6484.8088859999989</v>
      </c>
      <c r="BI4" s="13"/>
      <c r="BJ4" s="13">
        <f>SUM(BJ2:BJ3)</f>
        <v>7010.3624339999997</v>
      </c>
      <c r="BK4" s="13"/>
      <c r="BL4" s="13">
        <f>SUM(BL2:BL3)</f>
        <v>7437.9368669999985</v>
      </c>
      <c r="BM4" s="13"/>
      <c r="BN4" s="13">
        <f>SUM(BN2:BN3)</f>
        <v>8173.9045799999994</v>
      </c>
      <c r="BO4" s="13"/>
      <c r="BP4" s="13">
        <f>SUM(BP2:BP3)</f>
        <v>9192.7143989999986</v>
      </c>
      <c r="BQ4" s="13"/>
      <c r="BR4" s="14">
        <f>SUM(BR2:BR3)</f>
        <v>9599.8775459999997</v>
      </c>
      <c r="BS4" s="14"/>
      <c r="BT4" s="13">
        <v>9161.9739149999987</v>
      </c>
      <c r="BU4" s="12"/>
      <c r="BV4" s="12">
        <f>SUM(BV2:BV3)</f>
        <v>9303.1972799999985</v>
      </c>
      <c r="BW4" s="12"/>
      <c r="BX4" s="12">
        <f>SUM(BX2:BX3)</f>
        <v>9973.1124899999977</v>
      </c>
      <c r="BY4" s="12"/>
      <c r="BZ4" s="12">
        <v>11154.668954999997</v>
      </c>
      <c r="CA4" s="12"/>
      <c r="CB4" s="12">
        <f>SUM(CB2:CB3)</f>
        <v>11334.812145</v>
      </c>
      <c r="CC4" s="12"/>
      <c r="CD4" s="31">
        <f>SUM(CD2:CD3)</f>
        <v>11121.899523999999</v>
      </c>
      <c r="CE4" s="31"/>
      <c r="CF4" s="31">
        <f>SUM(CF2:CF3)</f>
        <v>11589.5457365</v>
      </c>
      <c r="CH4" s="24">
        <f>(CF4-CD4)/CD4</f>
        <v>4.2047332965997913E-2</v>
      </c>
      <c r="CI4" s="3">
        <f>CF4-CD4</f>
        <v>467.64621250000164</v>
      </c>
      <c r="CJ4" s="24">
        <f>CF4/CK4</f>
        <v>0.89820551317523056</v>
      </c>
      <c r="CK4" s="38">
        <f>SUM(CK2:CK3)</f>
        <v>12903</v>
      </c>
      <c r="CL4" t="s">
        <v>196</v>
      </c>
    </row>
    <row r="5" spans="1:90" x14ac:dyDescent="0.25">
      <c r="A5" t="s">
        <v>5</v>
      </c>
      <c r="B5" t="s">
        <v>6</v>
      </c>
      <c r="C5" t="s">
        <v>187</v>
      </c>
      <c r="D5" t="str">
        <f>CONCATENATE(B5, " ", C5)</f>
        <v>Northeast River (Tidal Fresh)</v>
      </c>
      <c r="E5">
        <v>2</v>
      </c>
      <c r="F5" s="3">
        <v>0</v>
      </c>
      <c r="G5" s="3"/>
      <c r="H5" s="3">
        <v>0</v>
      </c>
      <c r="I5" s="3"/>
      <c r="J5" s="3">
        <v>4.9669109999999987</v>
      </c>
      <c r="K5" s="3"/>
      <c r="L5" s="3">
        <v>0.84017399999999998</v>
      </c>
      <c r="M5" s="3"/>
      <c r="N5" s="3">
        <v>0</v>
      </c>
      <c r="O5" s="3"/>
      <c r="P5" s="3">
        <v>0</v>
      </c>
      <c r="Q5" s="3"/>
      <c r="R5" s="3">
        <v>0</v>
      </c>
      <c r="S5" s="3"/>
      <c r="T5" s="3">
        <v>0</v>
      </c>
      <c r="U5" s="3"/>
      <c r="V5" s="3">
        <v>0</v>
      </c>
      <c r="W5" s="3"/>
      <c r="X5" s="3">
        <v>19.669955999999999</v>
      </c>
      <c r="Y5" s="3"/>
      <c r="Z5" s="3">
        <v>16.951746</v>
      </c>
      <c r="AA5" s="3"/>
      <c r="AB5" s="3">
        <v>13.096829999999999</v>
      </c>
      <c r="AC5" s="3"/>
      <c r="AD5" s="3">
        <v>12.306078000000001</v>
      </c>
      <c r="AE5" s="3"/>
      <c r="AF5" s="3">
        <v>24.587444999999995</v>
      </c>
      <c r="AG5" s="3"/>
      <c r="AH5" s="3">
        <v>14.208824999999999</v>
      </c>
      <c r="AI5" s="3"/>
      <c r="AJ5" s="3">
        <v>23.302472999999999</v>
      </c>
      <c r="AK5" s="3"/>
      <c r="AL5" s="3">
        <v>0</v>
      </c>
      <c r="AM5" s="3"/>
      <c r="AN5" s="3">
        <v>75.986324999999994</v>
      </c>
      <c r="AO5" s="3"/>
      <c r="AP5" s="3">
        <v>46.036592999999996</v>
      </c>
      <c r="AQ5" s="3"/>
      <c r="AR5" s="3">
        <v>84.165666000000002</v>
      </c>
      <c r="AS5" s="3"/>
      <c r="AT5" s="3">
        <v>78.383291999999997</v>
      </c>
      <c r="AU5" s="3"/>
      <c r="AV5" s="3">
        <v>132.45096000000001</v>
      </c>
      <c r="AW5" s="3"/>
      <c r="AX5" s="3">
        <v>115.054416</v>
      </c>
      <c r="AY5" s="3"/>
      <c r="AZ5" s="3">
        <v>182.713134</v>
      </c>
      <c r="BA5" s="3"/>
      <c r="BB5" s="3">
        <v>240.14149800000001</v>
      </c>
      <c r="BC5" s="3"/>
      <c r="BD5" s="3">
        <v>228.379062</v>
      </c>
      <c r="BE5" s="3"/>
      <c r="BF5" s="3">
        <v>108.30831299999998</v>
      </c>
      <c r="BG5" s="3"/>
      <c r="BH5" s="3">
        <v>52.288475999999996</v>
      </c>
      <c r="BI5" s="3"/>
      <c r="BJ5" s="3">
        <v>52.041365999999996</v>
      </c>
      <c r="BK5" s="3"/>
      <c r="BL5" s="3">
        <v>70.772303999999991</v>
      </c>
      <c r="BM5" s="3"/>
      <c r="BN5" s="3">
        <v>83.374914000000004</v>
      </c>
      <c r="BO5" s="3"/>
      <c r="BP5" s="4">
        <v>90.022172999999995</v>
      </c>
      <c r="BQ5" s="4"/>
      <c r="BR5" s="3">
        <v>100.35137099999999</v>
      </c>
      <c r="BS5" s="4"/>
      <c r="BT5" s="3">
        <v>93.753533999999988</v>
      </c>
      <c r="BV5">
        <v>86.537922000000009</v>
      </c>
      <c r="BX5" s="23">
        <v>108.55542299999999</v>
      </c>
      <c r="BZ5">
        <v>98.498045999999988</v>
      </c>
      <c r="CB5">
        <v>98.86871099999999</v>
      </c>
      <c r="CD5" s="35">
        <v>96.865160000000003</v>
      </c>
      <c r="CE5" s="35"/>
      <c r="CF5" s="35">
        <v>146.879212</v>
      </c>
      <c r="CH5" s="24">
        <f>(CF5-CD5)/CD5</f>
        <v>0.51632653061224476</v>
      </c>
      <c r="CI5" s="3">
        <f>CF5-CD5</f>
        <v>50.014051999999992</v>
      </c>
      <c r="CJ5" s="24">
        <f>CF5/CK5</f>
        <v>1.6503282247191011</v>
      </c>
      <c r="CK5" s="38">
        <v>89</v>
      </c>
    </row>
    <row r="6" spans="1:90" x14ac:dyDescent="0.25">
      <c r="A6" t="s">
        <v>7</v>
      </c>
      <c r="B6" t="s">
        <v>8</v>
      </c>
      <c r="C6" s="10" t="s">
        <v>188</v>
      </c>
      <c r="D6" t="str">
        <f>CONCATENATE(B6, " ", C6)</f>
        <v>Elk River Segment 1 (Oligohaline)</v>
      </c>
      <c r="E6">
        <v>3.1</v>
      </c>
      <c r="F6" s="3">
        <v>33.854069999999993</v>
      </c>
      <c r="G6" s="3"/>
      <c r="H6" s="3">
        <v>95.260904999999994</v>
      </c>
      <c r="I6" s="3"/>
      <c r="J6" s="3">
        <v>13.714604999999999</v>
      </c>
      <c r="K6" s="3"/>
      <c r="L6" s="3">
        <v>17.890764000000001</v>
      </c>
      <c r="M6" s="3"/>
      <c r="N6" s="3">
        <v>467.68038599999994</v>
      </c>
      <c r="O6" s="3"/>
      <c r="P6" s="3">
        <v>873.97864800000002</v>
      </c>
      <c r="Q6" s="3"/>
      <c r="R6" s="3">
        <v>663.31737299999998</v>
      </c>
      <c r="S6" s="3"/>
      <c r="T6" s="3">
        <v>594.59608200000002</v>
      </c>
      <c r="U6" s="3"/>
      <c r="V6" s="3">
        <v>233.71663799999999</v>
      </c>
      <c r="W6" s="3"/>
      <c r="X6" s="3">
        <v>441.51143699999994</v>
      </c>
      <c r="Y6" s="3"/>
      <c r="Z6" s="3">
        <v>303.401658</v>
      </c>
      <c r="AA6" s="3"/>
      <c r="AB6" s="3">
        <v>107.122185</v>
      </c>
      <c r="AC6" s="3"/>
      <c r="AD6" s="3">
        <v>165.860232</v>
      </c>
      <c r="AE6" s="3"/>
      <c r="AF6" s="3">
        <v>487.67158499999994</v>
      </c>
      <c r="AG6" s="3"/>
      <c r="AH6" s="3">
        <v>790.33191299999987</v>
      </c>
      <c r="AI6" s="3"/>
      <c r="AJ6" s="3">
        <v>1652.8693679999999</v>
      </c>
      <c r="AK6" s="3"/>
      <c r="AL6" s="3">
        <v>1844.9479709999998</v>
      </c>
      <c r="AM6" s="3"/>
      <c r="AN6" s="3">
        <v>374.890581</v>
      </c>
      <c r="AO6" s="3"/>
      <c r="AP6" s="3">
        <v>324.60369600000001</v>
      </c>
      <c r="AQ6" s="3"/>
      <c r="AR6" s="3">
        <v>1689.24396</v>
      </c>
      <c r="AS6" s="3"/>
      <c r="AT6" s="3">
        <v>1671.600306</v>
      </c>
      <c r="AU6" s="3"/>
      <c r="AV6" s="3">
        <v>1610.391159</v>
      </c>
      <c r="AW6" s="3"/>
      <c r="AX6" s="3">
        <v>1589.510364</v>
      </c>
      <c r="AY6" s="3"/>
      <c r="AZ6" s="3">
        <v>1906.5772049999998</v>
      </c>
      <c r="BA6" s="3"/>
      <c r="BB6" s="3">
        <v>2070.164025</v>
      </c>
      <c r="BC6" s="3"/>
      <c r="BD6" s="3">
        <v>1900.7206979999999</v>
      </c>
      <c r="BE6" s="3"/>
      <c r="BF6" s="3">
        <v>115.47450299999998</v>
      </c>
      <c r="BG6" s="3"/>
      <c r="BH6" s="3">
        <v>114.90615</v>
      </c>
      <c r="BI6" s="3"/>
      <c r="BJ6" s="3">
        <v>113.96713199999999</v>
      </c>
      <c r="BK6" s="3"/>
      <c r="BL6" s="3">
        <v>419.88931199999996</v>
      </c>
      <c r="BM6" s="3"/>
      <c r="BN6" s="3">
        <v>2129.2233149999997</v>
      </c>
      <c r="BO6" s="3"/>
      <c r="BP6" s="4">
        <v>2195.0287079999998</v>
      </c>
      <c r="BQ6" s="4"/>
      <c r="BR6" s="4">
        <v>2085.3612899999998</v>
      </c>
      <c r="BS6" s="4"/>
      <c r="BT6" s="3">
        <v>1771.1609249999999</v>
      </c>
      <c r="BU6" t="s">
        <v>108</v>
      </c>
      <c r="BV6">
        <v>798.78307499999994</v>
      </c>
      <c r="BX6">
        <v>612.23973599999999</v>
      </c>
      <c r="BZ6">
        <v>115.054416</v>
      </c>
      <c r="CB6">
        <v>189.16270499999999</v>
      </c>
      <c r="CD6" s="35">
        <v>0</v>
      </c>
      <c r="CE6" s="35"/>
      <c r="CF6" s="35">
        <v>85.597172</v>
      </c>
      <c r="CH6" s="24">
        <v>0</v>
      </c>
      <c r="CI6" s="3">
        <f>CF6-CD6</f>
        <v>85.597172</v>
      </c>
      <c r="CJ6" s="24">
        <f>CF6/CK6</f>
        <v>4.6419290672451194E-2</v>
      </c>
      <c r="CK6" s="38">
        <v>1844</v>
      </c>
      <c r="CL6" s="10" t="s">
        <v>208</v>
      </c>
    </row>
    <row r="7" spans="1:90" x14ac:dyDescent="0.25">
      <c r="A7" t="s">
        <v>9</v>
      </c>
      <c r="B7" t="s">
        <v>10</v>
      </c>
      <c r="C7" s="10" t="s">
        <v>188</v>
      </c>
      <c r="D7" t="str">
        <f>CONCATENATE(B7, " ", C7)</f>
        <v>Elk River Segment 2 (Oligohaline)</v>
      </c>
      <c r="E7">
        <v>3.2</v>
      </c>
      <c r="F7" s="3">
        <v>0</v>
      </c>
      <c r="G7" s="3"/>
      <c r="H7" s="3">
        <v>0</v>
      </c>
      <c r="I7" s="3"/>
      <c r="J7" s="3">
        <v>0.46950899999999995</v>
      </c>
      <c r="K7" s="3"/>
      <c r="L7" s="3">
        <v>0</v>
      </c>
      <c r="M7" s="3"/>
      <c r="N7" s="3">
        <v>2.1004349999999996</v>
      </c>
      <c r="O7" s="3"/>
      <c r="P7" s="3">
        <v>5.2634429999999996</v>
      </c>
      <c r="Q7" s="3"/>
      <c r="R7" s="3">
        <v>0.71661899999999989</v>
      </c>
      <c r="S7" s="3"/>
      <c r="T7" s="3">
        <v>0</v>
      </c>
      <c r="U7" s="3"/>
      <c r="V7" s="3">
        <v>0</v>
      </c>
      <c r="W7" s="3"/>
      <c r="X7" s="3">
        <v>0</v>
      </c>
      <c r="Y7" s="3"/>
      <c r="Z7" s="3">
        <v>5.6588189999999994</v>
      </c>
      <c r="AA7" s="3"/>
      <c r="AB7" s="3">
        <v>0.91430699999999998</v>
      </c>
      <c r="AC7" s="3"/>
      <c r="AD7" s="3">
        <v>0.79075200000000001</v>
      </c>
      <c r="AE7" s="3"/>
      <c r="AF7" s="3">
        <v>21.572703000000001</v>
      </c>
      <c r="AG7" s="3"/>
      <c r="AH7" s="3">
        <v>8.2287629999999989</v>
      </c>
      <c r="AI7" s="3"/>
      <c r="AJ7" s="3">
        <v>57.428363999999995</v>
      </c>
      <c r="AK7" s="3"/>
      <c r="AL7" s="3">
        <v>189.75576900000002</v>
      </c>
      <c r="AM7" s="3"/>
      <c r="AN7" s="3">
        <v>60.270128999999997</v>
      </c>
      <c r="AO7" s="3"/>
      <c r="AP7" s="3">
        <v>21.251459999999998</v>
      </c>
      <c r="AQ7" s="3"/>
      <c r="AR7" s="3">
        <v>222.86850899999999</v>
      </c>
      <c r="AS7" s="3"/>
      <c r="AT7" s="3">
        <v>291.91104299999995</v>
      </c>
      <c r="AU7" s="3"/>
      <c r="AV7" s="3">
        <v>378.89376300000004</v>
      </c>
      <c r="AW7" s="3"/>
      <c r="AX7" s="3">
        <v>390.55735500000003</v>
      </c>
      <c r="AY7" s="3"/>
      <c r="AZ7" s="3">
        <v>440.10290999999995</v>
      </c>
      <c r="BA7" s="3"/>
      <c r="BB7" s="3">
        <v>461.89801199999994</v>
      </c>
      <c r="BC7" s="3"/>
      <c r="BD7" s="3">
        <v>475.29137399999996</v>
      </c>
      <c r="BE7" s="3"/>
      <c r="BF7" s="3">
        <v>29.480222999999999</v>
      </c>
      <c r="BG7" s="3"/>
      <c r="BH7" s="3">
        <v>0</v>
      </c>
      <c r="BI7" s="3"/>
      <c r="BJ7" s="3">
        <v>0</v>
      </c>
      <c r="BK7" s="3"/>
      <c r="BL7" s="3">
        <v>11.663592</v>
      </c>
      <c r="BM7" s="3"/>
      <c r="BN7" s="3">
        <v>121.924074</v>
      </c>
      <c r="BO7" s="3"/>
      <c r="BP7" s="4">
        <v>143.64504299999999</v>
      </c>
      <c r="BQ7" s="4"/>
      <c r="BR7" s="4">
        <v>136.52827499999998</v>
      </c>
      <c r="BS7" s="4"/>
      <c r="BT7" s="3">
        <v>131.70962999999998</v>
      </c>
      <c r="BV7">
        <v>21.449147999999997</v>
      </c>
      <c r="BX7">
        <v>0</v>
      </c>
      <c r="BZ7">
        <v>0</v>
      </c>
      <c r="CB7">
        <v>0</v>
      </c>
      <c r="CD7" s="35">
        <v>0</v>
      </c>
      <c r="CE7" s="35"/>
      <c r="CF7" s="35">
        <v>0</v>
      </c>
      <c r="CH7" s="24">
        <v>0</v>
      </c>
      <c r="CI7" s="3">
        <f>CF7-CD7</f>
        <v>0</v>
      </c>
      <c r="CJ7" s="24">
        <f>CF7/CK7</f>
        <v>0</v>
      </c>
      <c r="CK7" s="38">
        <v>190</v>
      </c>
    </row>
    <row r="8" spans="1:90" x14ac:dyDescent="0.25">
      <c r="A8" s="11" t="s">
        <v>169</v>
      </c>
      <c r="B8" s="11" t="s">
        <v>168</v>
      </c>
      <c r="C8" s="11" t="s">
        <v>188</v>
      </c>
      <c r="D8" t="str">
        <f>CONCATENATE(B8, " ", C8)</f>
        <v>Elk River (Oligohaline)</v>
      </c>
      <c r="E8" s="12">
        <v>3</v>
      </c>
      <c r="F8" s="13">
        <f>SUM(F6:F7)</f>
        <v>33.854069999999993</v>
      </c>
      <c r="G8" s="13"/>
      <c r="H8" s="13">
        <f>SUM(H6:H7)</f>
        <v>95.260904999999994</v>
      </c>
      <c r="I8" s="13"/>
      <c r="J8" s="13">
        <f>SUM(J6:J7)</f>
        <v>14.184113999999999</v>
      </c>
      <c r="K8" s="13"/>
      <c r="L8" s="13">
        <f>SUM(L6:L7)</f>
        <v>17.890764000000001</v>
      </c>
      <c r="M8" s="13"/>
      <c r="N8" s="13">
        <f>SUM(N6:N7)</f>
        <v>469.78082099999995</v>
      </c>
      <c r="O8" s="13"/>
      <c r="P8" s="13">
        <f>SUM(P6:P7)</f>
        <v>879.24209100000007</v>
      </c>
      <c r="Q8" s="13"/>
      <c r="R8" s="13">
        <f>SUM(R6:R7)</f>
        <v>664.03399200000001</v>
      </c>
      <c r="S8" s="13"/>
      <c r="T8" s="13">
        <f>SUM(T6:T7)</f>
        <v>594.59608200000002</v>
      </c>
      <c r="U8" s="13"/>
      <c r="V8" s="13">
        <f>SUM(V6:V7)</f>
        <v>233.71663799999999</v>
      </c>
      <c r="W8" s="13"/>
      <c r="X8" s="13">
        <f>SUM(X6:X7)</f>
        <v>441.51143699999994</v>
      </c>
      <c r="Y8" s="13"/>
      <c r="Z8" s="13">
        <f>SUM(Z6:Z7)</f>
        <v>309.06047699999999</v>
      </c>
      <c r="AA8" s="13"/>
      <c r="AB8" s="13">
        <f>SUM(AB6:AB7)</f>
        <v>108.036492</v>
      </c>
      <c r="AC8" s="13"/>
      <c r="AD8" s="13">
        <f>SUM(AD6:AD7)</f>
        <v>166.65098399999999</v>
      </c>
      <c r="AE8" s="13"/>
      <c r="AF8" s="13">
        <f>SUM(AF6:AF7)</f>
        <v>509.24428799999993</v>
      </c>
      <c r="AG8" s="13"/>
      <c r="AH8" s="13">
        <f>SUM(AH6:AH7)</f>
        <v>798.56067599999983</v>
      </c>
      <c r="AI8" s="13"/>
      <c r="AJ8" s="13">
        <f>SUM(AJ6:AJ7)</f>
        <v>1710.297732</v>
      </c>
      <c r="AK8" s="13"/>
      <c r="AL8" s="13">
        <f>SUM(AL6:AL7)</f>
        <v>2034.7037399999999</v>
      </c>
      <c r="AM8" s="13"/>
      <c r="AN8" s="13">
        <f>SUM(AN6:AN7)</f>
        <v>435.16070999999999</v>
      </c>
      <c r="AO8" s="13"/>
      <c r="AP8" s="13">
        <f>SUM(AP6:AP7)</f>
        <v>345.85515600000002</v>
      </c>
      <c r="AQ8" s="13"/>
      <c r="AR8" s="13">
        <f>SUM(AR6:AR7)</f>
        <v>1912.1124689999999</v>
      </c>
      <c r="AS8" s="13"/>
      <c r="AT8" s="13">
        <f>SUM(AT6:AT7)</f>
        <v>1963.5113489999999</v>
      </c>
      <c r="AU8" s="13"/>
      <c r="AV8" s="13">
        <f>SUM(AV6:AV7)</f>
        <v>1989.2849220000001</v>
      </c>
      <c r="AW8" s="13"/>
      <c r="AX8" s="13">
        <f>SUM(AX6:AX7)</f>
        <v>1980.0677190000001</v>
      </c>
      <c r="AY8" s="13"/>
      <c r="AZ8" s="13">
        <f>SUM(AZ6:AZ7)</f>
        <v>2346.6801149999997</v>
      </c>
      <c r="BA8" s="13"/>
      <c r="BB8" s="13">
        <f>SUM(BB6:BB7)</f>
        <v>2532.0620370000001</v>
      </c>
      <c r="BC8" s="13"/>
      <c r="BD8" s="13">
        <f>SUM(BD6:BD7)</f>
        <v>2376.012072</v>
      </c>
      <c r="BE8" s="13"/>
      <c r="BF8" s="13">
        <f>SUM(BF6:BF7)</f>
        <v>144.95472599999999</v>
      </c>
      <c r="BG8" s="13"/>
      <c r="BH8" s="13">
        <f>SUM(BH6:BH7)</f>
        <v>114.90615</v>
      </c>
      <c r="BI8" s="13"/>
      <c r="BJ8" s="13">
        <f>SUM(BJ6:BJ7)</f>
        <v>113.96713199999999</v>
      </c>
      <c r="BK8" s="13"/>
      <c r="BL8" s="13">
        <f>SUM(BL6:BL7)</f>
        <v>431.55290399999996</v>
      </c>
      <c r="BM8" s="13"/>
      <c r="BN8" s="13">
        <f>SUM(BN6:BN7)</f>
        <v>2251.1473889999997</v>
      </c>
      <c r="BO8" s="13"/>
      <c r="BP8" s="14">
        <f>SUM(BP6:BP7)</f>
        <v>2338.6737509999998</v>
      </c>
      <c r="BQ8" s="14"/>
      <c r="BR8" s="14">
        <f>SUM(BR6:BR7)</f>
        <v>2221.8895649999999</v>
      </c>
      <c r="BS8" s="14"/>
      <c r="BT8" s="13">
        <v>1902.8705549999997</v>
      </c>
      <c r="BU8" s="12"/>
      <c r="BV8" s="12">
        <f>SUM(BV6:BV7)</f>
        <v>820.23222299999998</v>
      </c>
      <c r="BW8" s="12"/>
      <c r="BX8" s="12">
        <f>SUM(BX6:BX7)</f>
        <v>612.23973599999999</v>
      </c>
      <c r="BY8" s="12"/>
      <c r="BZ8" s="12">
        <v>115.054416</v>
      </c>
      <c r="CA8" s="12"/>
      <c r="CB8" s="12">
        <f>SUM(CB6:CB7)</f>
        <v>189.16270499999999</v>
      </c>
      <c r="CC8" s="12"/>
      <c r="CD8" s="32">
        <f>SUM(CD6:CD7)</f>
        <v>0</v>
      </c>
      <c r="CE8" s="32"/>
      <c r="CF8" s="32">
        <f>SUM(CF6:CF7)</f>
        <v>85.597172</v>
      </c>
      <c r="CH8" s="24">
        <v>0</v>
      </c>
      <c r="CI8" s="3">
        <f>CF8-CD8</f>
        <v>85.597172</v>
      </c>
      <c r="CJ8" s="24">
        <f>CF8/CK8</f>
        <v>4.20831720747296E-2</v>
      </c>
      <c r="CK8" s="38">
        <f>SUM(CK6:CK7)</f>
        <v>2034</v>
      </c>
      <c r="CL8" s="10" t="s">
        <v>208</v>
      </c>
    </row>
    <row r="9" spans="1:90" x14ac:dyDescent="0.25">
      <c r="A9" t="s">
        <v>11</v>
      </c>
      <c r="B9" t="s">
        <v>12</v>
      </c>
      <c r="C9" t="s">
        <v>188</v>
      </c>
      <c r="D9" t="str">
        <f>CONCATENATE(B9, " ", C9)</f>
        <v>Bohemia River (Oligohaline)</v>
      </c>
      <c r="E9">
        <v>4</v>
      </c>
      <c r="F9" s="3">
        <v>0</v>
      </c>
      <c r="G9" s="3"/>
      <c r="H9" s="3">
        <v>19.348713</v>
      </c>
      <c r="I9" s="3"/>
      <c r="J9" s="3">
        <v>3.8796269999999997</v>
      </c>
      <c r="K9" s="3"/>
      <c r="L9" s="3">
        <v>0</v>
      </c>
      <c r="M9" s="3"/>
      <c r="N9" s="3">
        <v>16.877613</v>
      </c>
      <c r="O9" s="3"/>
      <c r="P9" s="3">
        <v>16.877613</v>
      </c>
      <c r="Q9" s="3"/>
      <c r="R9" s="3">
        <v>0.61777499999999996</v>
      </c>
      <c r="S9" s="3"/>
      <c r="T9" s="3">
        <v>4.3491359999999997</v>
      </c>
      <c r="U9" s="3"/>
      <c r="V9" s="3">
        <v>0.44479799999999997</v>
      </c>
      <c r="W9" s="3"/>
      <c r="X9" s="3">
        <v>2.9406089999999998</v>
      </c>
      <c r="Y9" s="3"/>
      <c r="Z9" s="3">
        <v>28.219961999999999</v>
      </c>
      <c r="AA9" s="3"/>
      <c r="AB9" s="3">
        <v>31.086437999999998</v>
      </c>
      <c r="AC9" s="3"/>
      <c r="AD9" s="3">
        <v>37.288899000000001</v>
      </c>
      <c r="AE9" s="3"/>
      <c r="AF9" s="3">
        <v>114.65903999999999</v>
      </c>
      <c r="AG9" s="3"/>
      <c r="AH9" s="3">
        <v>90.442260000000005</v>
      </c>
      <c r="AI9" s="3"/>
      <c r="AJ9" s="3">
        <v>187.11169199999998</v>
      </c>
      <c r="AK9" s="3"/>
      <c r="AL9" s="3">
        <v>354.40516199999996</v>
      </c>
      <c r="AM9" s="3"/>
      <c r="AN9" s="3">
        <v>136.182321</v>
      </c>
      <c r="AO9" s="3"/>
      <c r="AP9" s="3">
        <v>288.105549</v>
      </c>
      <c r="AQ9" s="3"/>
      <c r="AR9" s="3">
        <v>729.76525199999992</v>
      </c>
      <c r="AS9" s="3"/>
      <c r="AT9" s="3">
        <v>917.89009499999997</v>
      </c>
      <c r="AU9" s="3"/>
      <c r="AV9" s="3">
        <v>708.71147999999994</v>
      </c>
      <c r="AW9" s="3"/>
      <c r="AX9" s="3">
        <v>578.80575299999998</v>
      </c>
      <c r="AY9" s="3"/>
      <c r="AZ9" s="3">
        <v>528.42002400000001</v>
      </c>
      <c r="BA9" s="3"/>
      <c r="BB9" s="3">
        <v>546.90385199999992</v>
      </c>
      <c r="BC9" s="3"/>
      <c r="BD9" s="3">
        <v>208.93150499999999</v>
      </c>
      <c r="BE9" s="3"/>
      <c r="BF9" s="3">
        <v>53.894690999999995</v>
      </c>
      <c r="BG9" s="3"/>
      <c r="BH9" s="3">
        <v>60.887903999999999</v>
      </c>
      <c r="BI9" s="3"/>
      <c r="BJ9" s="3">
        <v>35.657972999999998</v>
      </c>
      <c r="BK9" s="3"/>
      <c r="BL9" s="3">
        <v>63.260159999999999</v>
      </c>
      <c r="BM9" s="3"/>
      <c r="BN9" s="3">
        <v>374.17396199999996</v>
      </c>
      <c r="BO9" s="3"/>
      <c r="BP9" s="4">
        <v>295.074051</v>
      </c>
      <c r="BQ9" s="4"/>
      <c r="BR9" s="4">
        <v>145.523079</v>
      </c>
      <c r="BS9" s="4"/>
      <c r="BT9" s="3">
        <v>118.41511199999999</v>
      </c>
      <c r="BU9" t="s">
        <v>108</v>
      </c>
      <c r="BV9">
        <v>83.449047000000007</v>
      </c>
      <c r="BX9">
        <v>3.5089619999999995</v>
      </c>
      <c r="BZ9">
        <v>2.3722559999999997</v>
      </c>
      <c r="CB9">
        <v>6.3507269999999991</v>
      </c>
      <c r="CD9" s="35">
        <v>0</v>
      </c>
      <c r="CE9" s="35"/>
      <c r="CF9" s="35">
        <v>6.8942294999999998</v>
      </c>
      <c r="CH9" s="24">
        <v>0</v>
      </c>
      <c r="CI9" s="3">
        <f>CF9-CD9</f>
        <v>6.8942294999999998</v>
      </c>
      <c r="CJ9" s="24">
        <f>CF9/CK9</f>
        <v>1.9475224576271186E-2</v>
      </c>
      <c r="CK9" s="38">
        <v>354</v>
      </c>
      <c r="CL9" s="10" t="s">
        <v>208</v>
      </c>
    </row>
    <row r="10" spans="1:90" x14ac:dyDescent="0.25">
      <c r="A10" t="s">
        <v>109</v>
      </c>
      <c r="B10" t="s">
        <v>110</v>
      </c>
      <c r="C10" t="s">
        <v>188</v>
      </c>
      <c r="D10" t="str">
        <f>CONCATENATE(B10, " ", C10)</f>
        <v>Chesapeake &amp; Delaware Canal (Oligohaline)</v>
      </c>
      <c r="E10">
        <v>5</v>
      </c>
      <c r="F10" s="3">
        <v>0</v>
      </c>
      <c r="G10" s="3"/>
      <c r="H10" s="3">
        <v>0</v>
      </c>
      <c r="I10" s="3"/>
      <c r="J10" s="3">
        <v>0</v>
      </c>
      <c r="K10" s="3"/>
      <c r="L10" s="3">
        <v>0</v>
      </c>
      <c r="M10" s="3"/>
      <c r="N10" s="3">
        <v>0</v>
      </c>
      <c r="O10" s="3"/>
      <c r="P10" s="3">
        <v>0</v>
      </c>
      <c r="Q10" s="3"/>
      <c r="R10" s="3">
        <v>0</v>
      </c>
      <c r="S10" s="3"/>
      <c r="T10" s="3">
        <v>0</v>
      </c>
      <c r="U10" s="3"/>
      <c r="V10" s="3">
        <v>0</v>
      </c>
      <c r="W10" s="3"/>
      <c r="X10" s="3">
        <v>0</v>
      </c>
      <c r="Y10" s="3"/>
      <c r="Z10" s="3">
        <v>0</v>
      </c>
      <c r="AA10" s="3"/>
      <c r="AB10" s="3">
        <v>0</v>
      </c>
      <c r="AC10" s="3"/>
      <c r="AD10" s="3">
        <v>0</v>
      </c>
      <c r="AE10" s="3"/>
      <c r="AF10" s="3">
        <v>0</v>
      </c>
      <c r="AG10" s="3"/>
      <c r="AH10" s="3">
        <v>0</v>
      </c>
      <c r="AI10" s="3"/>
      <c r="AJ10" s="3">
        <v>0</v>
      </c>
      <c r="AK10" s="3"/>
      <c r="AL10" s="3">
        <v>6.5731260000000002</v>
      </c>
      <c r="AM10" s="3"/>
      <c r="AN10" s="3">
        <v>0</v>
      </c>
      <c r="AO10" s="3"/>
      <c r="AP10" s="3">
        <v>0</v>
      </c>
      <c r="AQ10" s="3"/>
      <c r="AR10" s="3">
        <v>8.1299189999999992</v>
      </c>
      <c r="AS10" s="3"/>
      <c r="AT10" s="3">
        <v>8.6982719999999993</v>
      </c>
      <c r="AU10" s="3"/>
      <c r="AV10" s="3">
        <v>3.0147419999999996</v>
      </c>
      <c r="AW10" s="3"/>
      <c r="AX10" s="3">
        <v>2.125146</v>
      </c>
      <c r="AY10" s="3"/>
      <c r="AZ10" s="3">
        <v>12.207234</v>
      </c>
      <c r="BA10" s="3"/>
      <c r="BB10" s="3">
        <v>7.2403230000000001</v>
      </c>
      <c r="BC10" s="3"/>
      <c r="BD10" s="3">
        <v>15.740907</v>
      </c>
      <c r="BE10" s="3"/>
      <c r="BF10" s="3">
        <v>0</v>
      </c>
      <c r="BG10" s="3"/>
      <c r="BH10" s="3">
        <v>0</v>
      </c>
      <c r="BI10" s="3"/>
      <c r="BJ10" s="3">
        <v>0</v>
      </c>
      <c r="BK10" s="3"/>
      <c r="BL10" s="3">
        <v>0.568353</v>
      </c>
      <c r="BM10" s="3"/>
      <c r="BN10" s="3">
        <v>16.927034999999997</v>
      </c>
      <c r="BO10" s="3"/>
      <c r="BP10" s="4">
        <v>21.325593000000001</v>
      </c>
      <c r="BQ10" s="4"/>
      <c r="BR10" s="4">
        <v>17.816630999999997</v>
      </c>
      <c r="BS10" s="4"/>
      <c r="BT10" s="3">
        <v>16.531659000000001</v>
      </c>
      <c r="BU10" t="s">
        <v>108</v>
      </c>
      <c r="BV10">
        <v>0</v>
      </c>
      <c r="BX10">
        <v>1.0131509999999999</v>
      </c>
      <c r="BZ10">
        <v>0</v>
      </c>
      <c r="CB10">
        <v>0</v>
      </c>
      <c r="CD10" s="35">
        <v>0</v>
      </c>
      <c r="CE10" s="35"/>
      <c r="CF10" s="35">
        <v>0</v>
      </c>
      <c r="CH10" s="24">
        <v>0</v>
      </c>
      <c r="CI10" s="3">
        <f>CF10-CD10</f>
        <v>0</v>
      </c>
      <c r="CJ10" s="24">
        <f>CF10/CK10</f>
        <v>0</v>
      </c>
      <c r="CK10" s="38">
        <v>7</v>
      </c>
      <c r="CL10" s="10" t="s">
        <v>208</v>
      </c>
    </row>
    <row r="11" spans="1:90" x14ac:dyDescent="0.25">
      <c r="A11" t="s">
        <v>13</v>
      </c>
      <c r="B11" t="s">
        <v>14</v>
      </c>
      <c r="C11" t="s">
        <v>188</v>
      </c>
      <c r="D11" t="str">
        <f>CONCATENATE(B11, " ", C11)</f>
        <v>Upper Chesapeake Bay (Oligohaline)</v>
      </c>
      <c r="E11">
        <v>6</v>
      </c>
      <c r="F11" s="5">
        <v>27.478631999999998</v>
      </c>
      <c r="G11" s="5" t="s">
        <v>108</v>
      </c>
      <c r="H11" s="3">
        <v>315.04053899999997</v>
      </c>
      <c r="I11" s="3"/>
      <c r="J11" s="9">
        <v>36.102770999999997</v>
      </c>
      <c r="K11" s="9" t="s">
        <v>108</v>
      </c>
      <c r="L11" s="3">
        <v>211.47673799999998</v>
      </c>
      <c r="M11" s="3"/>
      <c r="N11" s="3">
        <v>51.300035999999999</v>
      </c>
      <c r="O11" s="3"/>
      <c r="P11" s="3">
        <v>18.978047999999998</v>
      </c>
      <c r="Q11" s="3"/>
      <c r="R11" s="3">
        <v>9.9338219999999975</v>
      </c>
      <c r="S11" s="3"/>
      <c r="T11" s="3">
        <v>93.50642400000001</v>
      </c>
      <c r="U11" s="3"/>
      <c r="V11" s="3">
        <v>27.429209999999998</v>
      </c>
      <c r="W11" s="3"/>
      <c r="X11" s="3">
        <v>10.230353999999998</v>
      </c>
      <c r="Y11" s="3"/>
      <c r="Z11" s="3">
        <v>23.969669999999997</v>
      </c>
      <c r="AA11" s="3"/>
      <c r="AB11" s="3">
        <v>68.152937999999992</v>
      </c>
      <c r="AC11" s="3"/>
      <c r="AD11" s="3">
        <v>272.24108699999999</v>
      </c>
      <c r="AE11" s="3"/>
      <c r="AF11" s="3">
        <v>312.74241599999999</v>
      </c>
      <c r="AG11" s="3"/>
      <c r="AH11" s="9">
        <v>1.284972</v>
      </c>
      <c r="AI11" s="9" t="s">
        <v>108</v>
      </c>
      <c r="AJ11" s="3">
        <v>705.20251799999994</v>
      </c>
      <c r="AK11" s="3"/>
      <c r="AL11" s="9">
        <v>203.12441999999999</v>
      </c>
      <c r="AM11" s="9" t="s">
        <v>108</v>
      </c>
      <c r="AN11" s="3">
        <v>502.15223099999997</v>
      </c>
      <c r="AO11" s="3"/>
      <c r="AP11" s="3">
        <v>211.50144900000001</v>
      </c>
      <c r="AQ11" s="3"/>
      <c r="AR11" s="3">
        <v>1302.7886310000001</v>
      </c>
      <c r="AS11" s="3"/>
      <c r="AT11" s="3">
        <v>1070.7770519999999</v>
      </c>
      <c r="AU11" s="3"/>
      <c r="AV11" s="3">
        <v>434.71591199999995</v>
      </c>
      <c r="AW11" s="3"/>
      <c r="AX11" s="3">
        <v>372.64188000000001</v>
      </c>
      <c r="AY11" s="3"/>
      <c r="AZ11" s="3">
        <v>632.92284299999994</v>
      </c>
      <c r="BA11" s="3"/>
      <c r="BB11" s="3">
        <v>745.45673699999998</v>
      </c>
      <c r="BC11" s="3"/>
      <c r="BD11" s="3">
        <v>581.425119</v>
      </c>
      <c r="BE11" s="3"/>
      <c r="BF11" s="3">
        <v>421.22370599999999</v>
      </c>
      <c r="BG11" s="3"/>
      <c r="BH11" s="3">
        <v>294.25858799999997</v>
      </c>
      <c r="BI11" s="3"/>
      <c r="BJ11" s="3">
        <v>94.173620999999997</v>
      </c>
      <c r="BK11" s="3"/>
      <c r="BL11" s="3">
        <v>302.56148399999995</v>
      </c>
      <c r="BM11" s="3"/>
      <c r="BN11" s="3">
        <v>425.86937399999999</v>
      </c>
      <c r="BO11" s="3"/>
      <c r="BP11" s="4">
        <v>310.39487099999997</v>
      </c>
      <c r="BQ11" s="4"/>
      <c r="BR11" s="4">
        <v>473.66044799999997</v>
      </c>
      <c r="BS11" s="4"/>
      <c r="BT11" s="3">
        <v>631.36604999999997</v>
      </c>
      <c r="BV11">
        <v>998.20084499999996</v>
      </c>
      <c r="BX11">
        <v>692.45164199999999</v>
      </c>
      <c r="BZ11">
        <v>794.95286999999996</v>
      </c>
      <c r="CB11">
        <v>438.91678200000001</v>
      </c>
      <c r="CD11" s="35">
        <v>243.32429349999998</v>
      </c>
      <c r="CE11" s="35"/>
      <c r="CF11" s="35">
        <v>434.11406399999998</v>
      </c>
      <c r="CH11" s="24">
        <f>(CF11-CD11)/CD11</f>
        <v>0.78409667919163206</v>
      </c>
      <c r="CI11" s="3">
        <f>CF11-CD11</f>
        <v>190.7897705</v>
      </c>
      <c r="CJ11" s="24">
        <f>CF11/CK11</f>
        <v>0.61576462978723401</v>
      </c>
      <c r="CK11" s="38">
        <v>705</v>
      </c>
      <c r="CL11" s="10" t="s">
        <v>198</v>
      </c>
    </row>
    <row r="12" spans="1:90" x14ac:dyDescent="0.25">
      <c r="A12" t="s">
        <v>15</v>
      </c>
      <c r="B12" t="s">
        <v>16</v>
      </c>
      <c r="C12" t="s">
        <v>188</v>
      </c>
      <c r="D12" t="str">
        <f>CONCATENATE(B12, " ", C12)</f>
        <v>Sassafras River Segment 1 (Oligohaline)</v>
      </c>
      <c r="E12">
        <v>7.1</v>
      </c>
      <c r="F12" s="3">
        <v>49.496133</v>
      </c>
      <c r="G12" s="3"/>
      <c r="H12" s="3">
        <v>67.955249999999992</v>
      </c>
      <c r="I12" s="3"/>
      <c r="J12" s="3">
        <v>75.838059000000001</v>
      </c>
      <c r="K12" s="3"/>
      <c r="L12" s="3">
        <v>84.486908999999983</v>
      </c>
      <c r="M12" s="3"/>
      <c r="N12" s="3">
        <v>222.86850899999999</v>
      </c>
      <c r="O12" s="3"/>
      <c r="P12" s="3">
        <v>97.138941000000003</v>
      </c>
      <c r="Q12" s="3"/>
      <c r="R12" s="3">
        <v>74.380110000000002</v>
      </c>
      <c r="S12" s="3"/>
      <c r="T12" s="3">
        <v>34.545977999999998</v>
      </c>
      <c r="U12" s="3"/>
      <c r="V12" s="3">
        <v>186.370362</v>
      </c>
      <c r="W12" s="3"/>
      <c r="X12" s="3">
        <v>177.22729199999998</v>
      </c>
      <c r="Y12" s="3"/>
      <c r="Z12" s="3">
        <v>422.06387999999998</v>
      </c>
      <c r="AA12" s="3"/>
      <c r="AB12" s="3">
        <v>233.74134899999999</v>
      </c>
      <c r="AC12" s="3"/>
      <c r="AD12" s="3">
        <v>261.91188899999997</v>
      </c>
      <c r="AE12" s="3"/>
      <c r="AF12" s="3">
        <v>169.51745999999997</v>
      </c>
      <c r="AG12" s="3"/>
      <c r="AH12" s="3">
        <v>240.36389699999998</v>
      </c>
      <c r="AI12" s="3"/>
      <c r="AJ12" s="3">
        <v>958.21844699999986</v>
      </c>
      <c r="AK12" s="3"/>
      <c r="AL12" s="3">
        <v>1073.7176609999999</v>
      </c>
      <c r="AM12" s="3"/>
      <c r="AN12" s="3">
        <v>709.50223199999994</v>
      </c>
      <c r="AO12" s="3"/>
      <c r="AP12" s="3">
        <v>304.43952000000002</v>
      </c>
      <c r="AQ12" s="3"/>
      <c r="AR12" s="3">
        <v>1024.5427709999999</v>
      </c>
      <c r="AS12" s="3"/>
      <c r="AT12" s="3">
        <v>1125.2895179999998</v>
      </c>
      <c r="AU12" s="3"/>
      <c r="AV12" s="3">
        <v>815.24060099999997</v>
      </c>
      <c r="AW12" s="3"/>
      <c r="AX12" s="3">
        <v>368.44100999999995</v>
      </c>
      <c r="AY12" s="3"/>
      <c r="AZ12" s="3">
        <v>552.19200599999999</v>
      </c>
      <c r="BA12" s="3"/>
      <c r="BB12" s="3">
        <v>807.97556700000007</v>
      </c>
      <c r="BC12" s="3"/>
      <c r="BD12" s="3">
        <v>783.58581000000004</v>
      </c>
      <c r="BE12" s="3"/>
      <c r="BF12" s="3">
        <v>421.81676999999996</v>
      </c>
      <c r="BG12" s="3"/>
      <c r="BH12" s="3">
        <v>263.24628300000001</v>
      </c>
      <c r="BI12" s="3"/>
      <c r="BJ12" s="3">
        <v>107.76467099999999</v>
      </c>
      <c r="BK12" s="3"/>
      <c r="BL12" s="3">
        <v>110.95238999999999</v>
      </c>
      <c r="BM12" s="3"/>
      <c r="BN12" s="3">
        <v>121.60283099999999</v>
      </c>
      <c r="BO12" s="3"/>
      <c r="BP12" s="4">
        <v>167.86182300000002</v>
      </c>
      <c r="BQ12" s="4"/>
      <c r="BR12" s="4">
        <v>21.795102</v>
      </c>
      <c r="BS12" s="4"/>
      <c r="BT12" s="3">
        <v>133.36526699999999</v>
      </c>
      <c r="BV12">
        <v>237.57155399999999</v>
      </c>
      <c r="BX12">
        <v>140.80327799999998</v>
      </c>
      <c r="BZ12">
        <v>144.43579499999998</v>
      </c>
      <c r="CB12">
        <v>118.069158</v>
      </c>
      <c r="CD12" s="35">
        <v>6.5729930000000003</v>
      </c>
      <c r="CE12" s="35"/>
      <c r="CF12" s="35">
        <v>50.0881835</v>
      </c>
      <c r="CH12" s="24">
        <f>(CF12-CD12)/CD12</f>
        <v>6.6203007518796992</v>
      </c>
      <c r="CI12" s="3">
        <f>CF12-CD12</f>
        <v>43.515190500000003</v>
      </c>
      <c r="CJ12" s="24">
        <f>CF12/CK12</f>
        <v>4.6680506523765146E-2</v>
      </c>
      <c r="CK12" s="38">
        <v>1073</v>
      </c>
    </row>
    <row r="13" spans="1:90" x14ac:dyDescent="0.25">
      <c r="A13" t="s">
        <v>17</v>
      </c>
      <c r="B13" t="s">
        <v>18</v>
      </c>
      <c r="C13" t="s">
        <v>188</v>
      </c>
      <c r="D13" t="str">
        <f>CONCATENATE(B13, " ", C13)</f>
        <v>Sassafras River Segment 2 (Oligohaline)</v>
      </c>
      <c r="E13">
        <v>7.2</v>
      </c>
      <c r="F13" s="3">
        <v>0</v>
      </c>
      <c r="G13" s="3"/>
      <c r="H13" s="3">
        <v>0</v>
      </c>
      <c r="I13" s="3"/>
      <c r="J13" s="3">
        <v>6.8696579999999994</v>
      </c>
      <c r="K13" s="3"/>
      <c r="L13" s="3">
        <v>0</v>
      </c>
      <c r="M13" s="3"/>
      <c r="N13" s="3">
        <v>0</v>
      </c>
      <c r="O13" s="3"/>
      <c r="P13" s="3">
        <v>0</v>
      </c>
      <c r="Q13" s="3"/>
      <c r="R13" s="3">
        <v>0</v>
      </c>
      <c r="S13" s="3"/>
      <c r="T13" s="3">
        <v>0</v>
      </c>
      <c r="U13" s="3"/>
      <c r="V13" s="3">
        <v>0</v>
      </c>
      <c r="W13" s="3"/>
      <c r="X13" s="3">
        <v>11.194082999999999</v>
      </c>
      <c r="Y13" s="3"/>
      <c r="Z13" s="3">
        <v>22.215188999999999</v>
      </c>
      <c r="AA13" s="3"/>
      <c r="AB13" s="3">
        <v>14.159403000000001</v>
      </c>
      <c r="AC13" s="3"/>
      <c r="AD13" s="3">
        <v>11.861279999999999</v>
      </c>
      <c r="AE13" s="3"/>
      <c r="AF13" s="3">
        <v>0</v>
      </c>
      <c r="AG13" s="3"/>
      <c r="AH13" s="3">
        <v>0</v>
      </c>
      <c r="AI13" s="3"/>
      <c r="AJ13" s="3">
        <v>2.0263019999999998</v>
      </c>
      <c r="AK13" s="3"/>
      <c r="AL13" s="3">
        <v>95.384460000000004</v>
      </c>
      <c r="AM13" s="3"/>
      <c r="AN13" s="3">
        <v>120.86150099999999</v>
      </c>
      <c r="AO13" s="3"/>
      <c r="AP13" s="3">
        <v>65.805392999999995</v>
      </c>
      <c r="AQ13" s="3"/>
      <c r="AR13" s="3">
        <v>246.51693599999999</v>
      </c>
      <c r="AS13" s="3"/>
      <c r="AT13" s="3">
        <v>350.62437899999992</v>
      </c>
      <c r="AU13" s="3"/>
      <c r="AV13" s="3">
        <v>49.940930999999999</v>
      </c>
      <c r="AW13" s="3"/>
      <c r="AX13" s="3">
        <v>4.0526039999999997</v>
      </c>
      <c r="AY13" s="3"/>
      <c r="AZ13" s="3">
        <v>52.782695999999994</v>
      </c>
      <c r="BA13" s="3"/>
      <c r="BB13" s="3">
        <v>53.178071999999993</v>
      </c>
      <c r="BC13" s="3"/>
      <c r="BD13" s="3">
        <v>127.01453999999998</v>
      </c>
      <c r="BE13" s="3"/>
      <c r="BF13" s="3">
        <v>93.50642400000001</v>
      </c>
      <c r="BG13" s="3"/>
      <c r="BH13" s="3">
        <v>9.1677809999999997</v>
      </c>
      <c r="BI13" s="3"/>
      <c r="BJ13" s="3">
        <v>0</v>
      </c>
      <c r="BK13" s="3"/>
      <c r="BL13" s="3">
        <v>35.312018999999992</v>
      </c>
      <c r="BM13" s="3"/>
      <c r="BN13" s="3">
        <v>103.41553499999999</v>
      </c>
      <c r="BO13" s="3"/>
      <c r="BP13" s="4">
        <v>60.789059999999999</v>
      </c>
      <c r="BQ13" s="4"/>
      <c r="BR13" s="4">
        <v>19.867643999999995</v>
      </c>
      <c r="BS13" s="4"/>
      <c r="BT13" s="3">
        <v>28.368227999999998</v>
      </c>
      <c r="BU13" t="s">
        <v>108</v>
      </c>
      <c r="BV13">
        <v>168.30662099999998</v>
      </c>
      <c r="BX13">
        <v>28.491782999999998</v>
      </c>
      <c r="BZ13">
        <v>59.084000999999994</v>
      </c>
      <c r="CB13">
        <v>42.824162999999992</v>
      </c>
      <c r="CD13" s="35">
        <v>4.0278114999999994</v>
      </c>
      <c r="CE13" s="35"/>
      <c r="CF13" s="35">
        <v>37.362275999999994</v>
      </c>
      <c r="CH13" s="24">
        <f>(CF13-CD13)/CD13</f>
        <v>8.2760736196319016</v>
      </c>
      <c r="CI13" s="3">
        <f>CF13-CD13</f>
        <v>33.334464499999996</v>
      </c>
      <c r="CJ13" s="24">
        <f>CF13/CK13</f>
        <v>0.39328711578947362</v>
      </c>
      <c r="CK13" s="38">
        <v>95</v>
      </c>
      <c r="CL13" s="10" t="s">
        <v>208</v>
      </c>
    </row>
    <row r="14" spans="1:90" x14ac:dyDescent="0.25">
      <c r="A14" s="12" t="s">
        <v>180</v>
      </c>
      <c r="B14" s="12" t="s">
        <v>193</v>
      </c>
      <c r="C14" s="12" t="s">
        <v>188</v>
      </c>
      <c r="D14" t="str">
        <f>CONCATENATE(B14, " ", C14)</f>
        <v>Sassafras River (Oligohaline)</v>
      </c>
      <c r="E14" s="12">
        <v>7</v>
      </c>
      <c r="F14" s="13">
        <f>SUM(F12:F13)</f>
        <v>49.496133</v>
      </c>
      <c r="G14" s="13"/>
      <c r="H14" s="13">
        <f>SUM(H12:H13)</f>
        <v>67.955249999999992</v>
      </c>
      <c r="I14" s="13"/>
      <c r="J14" s="13">
        <f>SUM(J12:J13)</f>
        <v>82.707717000000002</v>
      </c>
      <c r="K14" s="13"/>
      <c r="L14" s="13">
        <f>SUM(L12:L13)</f>
        <v>84.486908999999983</v>
      </c>
      <c r="M14" s="13"/>
      <c r="N14" s="13">
        <f>SUM(N12:N13)</f>
        <v>222.86850899999999</v>
      </c>
      <c r="O14" s="13"/>
      <c r="P14" s="13">
        <f>SUM(P12:P13)</f>
        <v>97.138941000000003</v>
      </c>
      <c r="Q14" s="13"/>
      <c r="R14" s="13">
        <f>SUM(R12:R13)</f>
        <v>74.380110000000002</v>
      </c>
      <c r="S14" s="13"/>
      <c r="T14" s="13">
        <f>SUM(T12:T13)</f>
        <v>34.545977999999998</v>
      </c>
      <c r="U14" s="13"/>
      <c r="V14" s="13">
        <f>SUM(V12:V13)</f>
        <v>186.370362</v>
      </c>
      <c r="W14" s="13"/>
      <c r="X14" s="13">
        <f>SUM(X12:X13)</f>
        <v>188.42137499999998</v>
      </c>
      <c r="Y14" s="13"/>
      <c r="Z14" s="13">
        <f>SUM(Z12:Z13)</f>
        <v>444.27906899999999</v>
      </c>
      <c r="AA14" s="13"/>
      <c r="AB14" s="13">
        <f>SUM(AB12:AB13)</f>
        <v>247.90075199999998</v>
      </c>
      <c r="AC14" s="13"/>
      <c r="AD14" s="13">
        <f>SUM(AD12:AD13)</f>
        <v>273.773169</v>
      </c>
      <c r="AE14" s="13"/>
      <c r="AF14" s="13">
        <f>SUM(AF12:AF13)</f>
        <v>169.51745999999997</v>
      </c>
      <c r="AG14" s="13"/>
      <c r="AH14" s="13">
        <f>SUM(AH12:AH13)</f>
        <v>240.36389699999998</v>
      </c>
      <c r="AI14" s="13"/>
      <c r="AJ14" s="13">
        <f>SUM(AJ12:AJ13)</f>
        <v>960.24474899999984</v>
      </c>
      <c r="AK14" s="13"/>
      <c r="AL14" s="13">
        <f>SUM(AL12:AL13)</f>
        <v>1169.1021209999999</v>
      </c>
      <c r="AM14" s="13"/>
      <c r="AN14" s="13">
        <f>SUM(AN12:AN13)</f>
        <v>830.36373299999991</v>
      </c>
      <c r="AO14" s="13"/>
      <c r="AP14" s="13">
        <f>SUM(AP12:AP13)</f>
        <v>370.244913</v>
      </c>
      <c r="AQ14" s="13"/>
      <c r="AR14" s="13">
        <f>SUM(AR12:AR13)</f>
        <v>1271.0597069999999</v>
      </c>
      <c r="AS14" s="13"/>
      <c r="AT14" s="13">
        <f>SUM(AT12:AT13)</f>
        <v>1475.9138969999997</v>
      </c>
      <c r="AU14" s="13"/>
      <c r="AV14" s="13">
        <f>SUM(AV12:AV13)</f>
        <v>865.18153199999995</v>
      </c>
      <c r="AW14" s="13"/>
      <c r="AX14" s="13">
        <f>SUM(AX12:AX13)</f>
        <v>372.49361399999992</v>
      </c>
      <c r="AY14" s="13"/>
      <c r="AZ14" s="13">
        <f>SUM(AZ12:AZ13)</f>
        <v>604.97470199999998</v>
      </c>
      <c r="BA14" s="13"/>
      <c r="BB14" s="13">
        <f>SUM(BB12:BB13)</f>
        <v>861.15363900000011</v>
      </c>
      <c r="BC14" s="13"/>
      <c r="BD14" s="13">
        <f>SUM(BD12:BD13)</f>
        <v>910.60035000000005</v>
      </c>
      <c r="BE14" s="13"/>
      <c r="BF14" s="13">
        <f>SUM(BF12:BF13)</f>
        <v>515.32319399999994</v>
      </c>
      <c r="BG14" s="13"/>
      <c r="BH14" s="13">
        <f>SUM(BH12:BH13)</f>
        <v>272.414064</v>
      </c>
      <c r="BI14" s="13"/>
      <c r="BJ14" s="13">
        <f>SUM(BJ12:BJ13)</f>
        <v>107.76467099999999</v>
      </c>
      <c r="BK14" s="13"/>
      <c r="BL14" s="13">
        <f>SUM(BL12:BL13)</f>
        <v>146.264409</v>
      </c>
      <c r="BM14" s="13"/>
      <c r="BN14" s="13">
        <f>SUM(BN12:BN13)</f>
        <v>225.01836599999999</v>
      </c>
      <c r="BO14" s="13"/>
      <c r="BP14" s="14">
        <f>SUM(BP12:BP13)</f>
        <v>228.65088300000002</v>
      </c>
      <c r="BQ14" s="14"/>
      <c r="BR14" s="14">
        <f>SUM(BR12:BR13)</f>
        <v>41.662745999999999</v>
      </c>
      <c r="BS14" s="14"/>
      <c r="BT14" s="13">
        <v>161.733495</v>
      </c>
      <c r="BU14" s="12"/>
      <c r="BV14" s="12">
        <f>SUM(BV12:BV13)</f>
        <v>405.87817499999994</v>
      </c>
      <c r="BW14" s="12"/>
      <c r="BX14" s="12">
        <f>SUM(BX12:BX13)</f>
        <v>169.29506099999998</v>
      </c>
      <c r="BY14" s="12"/>
      <c r="BZ14" s="12">
        <v>203.51979599999999</v>
      </c>
      <c r="CA14" s="12"/>
      <c r="CB14" s="12">
        <f>SUM(CB12:CB13)</f>
        <v>160.89332099999999</v>
      </c>
      <c r="CC14" s="12"/>
      <c r="CD14" s="32">
        <f>SUM(CD12:CD13)</f>
        <v>10.600804499999999</v>
      </c>
      <c r="CE14" s="32"/>
      <c r="CF14" s="32">
        <f>SUM(CF12:CF13)</f>
        <v>87.450459499999994</v>
      </c>
      <c r="CH14" s="24">
        <f>(CF14-CD14)/CD14</f>
        <v>7.2494172494172497</v>
      </c>
      <c r="CI14" s="3">
        <f>CF14-CD14</f>
        <v>76.849654999999998</v>
      </c>
      <c r="CJ14" s="24">
        <f>CF14/CK14</f>
        <v>7.487196874999999E-2</v>
      </c>
      <c r="CK14" s="38">
        <f>SUM(CK12:CK13)</f>
        <v>1168</v>
      </c>
      <c r="CL14" s="10" t="s">
        <v>208</v>
      </c>
    </row>
    <row r="15" spans="1:90" x14ac:dyDescent="0.25">
      <c r="A15" t="s">
        <v>19</v>
      </c>
      <c r="B15" t="s">
        <v>20</v>
      </c>
      <c r="C15" t="s">
        <v>188</v>
      </c>
      <c r="D15" t="str">
        <f>CONCATENATE(B15, " ", C15)</f>
        <v>Bush River (Oligohaline)</v>
      </c>
      <c r="E15">
        <v>8</v>
      </c>
      <c r="F15" s="5">
        <v>5.9306399999999995</v>
      </c>
      <c r="G15" s="5" t="s">
        <v>108</v>
      </c>
      <c r="H15" s="3">
        <v>29.999154000000001</v>
      </c>
      <c r="I15" s="3"/>
      <c r="J15" s="9">
        <v>0</v>
      </c>
      <c r="K15" s="9" t="s">
        <v>108</v>
      </c>
      <c r="L15" s="3">
        <v>35.361440999999999</v>
      </c>
      <c r="M15" s="3"/>
      <c r="N15" s="3">
        <v>0</v>
      </c>
      <c r="O15" s="3"/>
      <c r="P15" s="3">
        <v>0</v>
      </c>
      <c r="Q15" s="3"/>
      <c r="R15" s="3">
        <v>0</v>
      </c>
      <c r="S15" s="3"/>
      <c r="T15" s="3">
        <v>5.7329519999999992</v>
      </c>
      <c r="U15" s="3"/>
      <c r="V15" s="3">
        <v>0</v>
      </c>
      <c r="W15" s="3"/>
      <c r="X15" s="3">
        <v>0</v>
      </c>
      <c r="Y15" s="3"/>
      <c r="Z15" s="3">
        <v>0</v>
      </c>
      <c r="AA15" s="3"/>
      <c r="AB15" s="3">
        <v>96.471743999999987</v>
      </c>
      <c r="AC15" s="3"/>
      <c r="AD15" s="3">
        <v>86.364945000000006</v>
      </c>
      <c r="AE15" s="3"/>
      <c r="AF15" s="3">
        <v>6.1036169999999998</v>
      </c>
      <c r="AG15" s="3"/>
      <c r="AH15" s="9">
        <v>0</v>
      </c>
      <c r="AI15" s="9" t="s">
        <v>108</v>
      </c>
      <c r="AJ15" s="3">
        <v>194.37672599999999</v>
      </c>
      <c r="AK15" s="3"/>
      <c r="AL15" s="9">
        <v>2.9406089999999998</v>
      </c>
      <c r="AM15" s="9" t="s">
        <v>108</v>
      </c>
      <c r="AN15" s="3">
        <v>349.83362699999998</v>
      </c>
      <c r="AO15" s="3"/>
      <c r="AP15" s="3">
        <v>390.16197899999992</v>
      </c>
      <c r="AQ15" s="3"/>
      <c r="AR15" s="3">
        <v>1024.221528</v>
      </c>
      <c r="AS15" s="3"/>
      <c r="AT15" s="3">
        <v>725.539671</v>
      </c>
      <c r="AU15" s="3"/>
      <c r="AV15" s="3">
        <v>324.03534299999995</v>
      </c>
      <c r="AW15" s="3"/>
      <c r="AX15" s="3">
        <v>642.98021999999992</v>
      </c>
      <c r="AY15" s="3"/>
      <c r="AZ15" s="3">
        <v>519.12868800000001</v>
      </c>
      <c r="BA15" s="3"/>
      <c r="BB15" s="3">
        <v>381.29073</v>
      </c>
      <c r="BC15" s="3"/>
      <c r="BD15" s="3">
        <v>236.11360499999998</v>
      </c>
      <c r="BE15" s="3"/>
      <c r="BF15" s="3">
        <v>278.49297000000001</v>
      </c>
      <c r="BG15" s="3"/>
      <c r="BH15" s="3">
        <v>119.823639</v>
      </c>
      <c r="BI15" s="3"/>
      <c r="BJ15" s="3">
        <v>247.85132999999999</v>
      </c>
      <c r="BK15" s="3"/>
      <c r="BL15" s="3">
        <v>222.25073399999999</v>
      </c>
      <c r="BM15" s="3"/>
      <c r="BN15" s="3">
        <v>366.24173100000002</v>
      </c>
      <c r="BO15" s="3"/>
      <c r="BP15" s="4">
        <v>61.629233999999997</v>
      </c>
      <c r="BQ15" s="4"/>
      <c r="BR15" s="4">
        <v>126.29792099999999</v>
      </c>
      <c r="BS15" s="4"/>
      <c r="BT15" s="3">
        <v>431.15752799999996</v>
      </c>
      <c r="BV15">
        <v>552.63680399999998</v>
      </c>
      <c r="BX15" s="23">
        <v>446.18181599999997</v>
      </c>
      <c r="BZ15">
        <v>444.35320199999995</v>
      </c>
      <c r="CB15">
        <v>393.20143200000001</v>
      </c>
      <c r="CD15" s="35">
        <v>290.76845350000002</v>
      </c>
      <c r="CE15" s="35"/>
      <c r="CF15" s="35">
        <v>467.20142349999998</v>
      </c>
      <c r="CH15" s="24">
        <f>(CF15-CD15)/CD15</f>
        <v>0.60678167757287305</v>
      </c>
      <c r="CI15" s="3">
        <f>CF15-CD15</f>
        <v>176.43296999999995</v>
      </c>
      <c r="CJ15" s="24">
        <f>CF15/CK15</f>
        <v>1.3348612099999999</v>
      </c>
      <c r="CK15" s="38">
        <v>350</v>
      </c>
      <c r="CL15" t="s">
        <v>198</v>
      </c>
    </row>
    <row r="16" spans="1:90" x14ac:dyDescent="0.25">
      <c r="A16" t="s">
        <v>21</v>
      </c>
      <c r="B16" t="s">
        <v>22</v>
      </c>
      <c r="C16" t="s">
        <v>188</v>
      </c>
      <c r="D16" t="str">
        <f>CONCATENATE(B16, " ", C16)</f>
        <v>Gunpowder River Segment 1 (Oligohaline)</v>
      </c>
      <c r="E16">
        <v>9.1</v>
      </c>
      <c r="F16" s="7">
        <v>0</v>
      </c>
      <c r="G16" s="7" t="s">
        <v>107</v>
      </c>
      <c r="H16" s="3">
        <v>78.210314999999994</v>
      </c>
      <c r="I16" s="3"/>
      <c r="J16" s="7">
        <v>0</v>
      </c>
      <c r="K16" s="7" t="s">
        <v>107</v>
      </c>
      <c r="L16" s="3">
        <v>88.070003999999997</v>
      </c>
      <c r="M16" s="3"/>
      <c r="N16" s="3">
        <v>60.665504999999996</v>
      </c>
      <c r="O16" s="3"/>
      <c r="P16" s="3">
        <v>213.848994</v>
      </c>
      <c r="Q16" s="3"/>
      <c r="R16" s="3">
        <v>175.00330199999996</v>
      </c>
      <c r="S16" s="3"/>
      <c r="T16" s="3">
        <v>283.50930299999999</v>
      </c>
      <c r="U16" s="3"/>
      <c r="V16" s="3">
        <v>88.094714999999994</v>
      </c>
      <c r="W16" s="3"/>
      <c r="X16" s="3">
        <v>176.11529699999997</v>
      </c>
      <c r="Y16" s="3"/>
      <c r="Z16" s="3">
        <v>114.36250799999999</v>
      </c>
      <c r="AA16" s="3"/>
      <c r="AB16" s="3">
        <v>728.035482</v>
      </c>
      <c r="AC16" s="3"/>
      <c r="AD16" s="3">
        <v>1179.876117</v>
      </c>
      <c r="AE16" s="3"/>
      <c r="AF16" s="3">
        <v>1765.2302849999999</v>
      </c>
      <c r="AG16" s="3"/>
      <c r="AH16" s="9">
        <v>160.39910099999997</v>
      </c>
      <c r="AI16" s="9" t="s">
        <v>108</v>
      </c>
      <c r="AJ16" s="3">
        <v>1861.23252</v>
      </c>
      <c r="AK16" s="3"/>
      <c r="AL16" s="7">
        <v>0</v>
      </c>
      <c r="AM16" s="7" t="s">
        <v>107</v>
      </c>
      <c r="AN16" s="3">
        <v>102.698916</v>
      </c>
      <c r="AO16" s="3"/>
      <c r="AP16" s="3">
        <v>20.757239999999999</v>
      </c>
      <c r="AQ16" s="3"/>
      <c r="AR16" s="3">
        <v>1324.188357</v>
      </c>
      <c r="AS16" s="3"/>
      <c r="AT16" s="3">
        <v>442.32689999999997</v>
      </c>
      <c r="AU16" s="3"/>
      <c r="AV16" s="3">
        <v>235.86649499999999</v>
      </c>
      <c r="AW16" s="3"/>
      <c r="AX16" s="3">
        <v>558.93810899999994</v>
      </c>
      <c r="AY16" s="3"/>
      <c r="AZ16" s="3">
        <v>782.74563599999988</v>
      </c>
      <c r="BA16" s="3"/>
      <c r="BB16" s="3">
        <v>854.53109099999995</v>
      </c>
      <c r="BC16" s="3"/>
      <c r="BD16" s="3">
        <v>857.02690199999995</v>
      </c>
      <c r="BE16" s="3"/>
      <c r="BF16" s="3">
        <v>492.91031699999996</v>
      </c>
      <c r="BG16" s="3"/>
      <c r="BH16" s="3">
        <v>424.683246</v>
      </c>
      <c r="BI16" s="3"/>
      <c r="BJ16" s="3">
        <v>331.76988599999999</v>
      </c>
      <c r="BK16" s="3"/>
      <c r="BL16" s="3">
        <v>328.58216699999997</v>
      </c>
      <c r="BM16" s="3"/>
      <c r="BN16" s="3">
        <v>344.49605099999997</v>
      </c>
      <c r="BO16" s="3"/>
      <c r="BP16" s="4">
        <v>185.70316500000001</v>
      </c>
      <c r="BQ16" s="4"/>
      <c r="BR16" s="4">
        <v>417.98656499999998</v>
      </c>
      <c r="BS16" s="4"/>
      <c r="BT16" s="3">
        <v>605.19710099999998</v>
      </c>
      <c r="BV16">
        <v>978.50617799999998</v>
      </c>
      <c r="BX16">
        <v>1023.1836659999999</v>
      </c>
      <c r="BZ16">
        <v>933.08735999999999</v>
      </c>
      <c r="CB16">
        <v>426.61070399999994</v>
      </c>
      <c r="CD16" s="35">
        <v>86.560881500000008</v>
      </c>
      <c r="CE16" s="35"/>
      <c r="CF16" s="35">
        <v>184.48859299999998</v>
      </c>
      <c r="CH16" s="24">
        <f>(CF16-CD16)/CD16</f>
        <v>1.1313160148444186</v>
      </c>
      <c r="CI16" s="3">
        <f>CF16-CD16</f>
        <v>97.927711499999972</v>
      </c>
      <c r="CJ16" s="24">
        <f>CF16/CK16</f>
        <v>9.9187415591397834E-2</v>
      </c>
      <c r="CK16" s="38">
        <v>1860</v>
      </c>
      <c r="CL16" t="s">
        <v>199</v>
      </c>
    </row>
    <row r="17" spans="1:90" x14ac:dyDescent="0.25">
      <c r="A17" t="s">
        <v>23</v>
      </c>
      <c r="B17" t="s">
        <v>24</v>
      </c>
      <c r="C17" t="s">
        <v>188</v>
      </c>
      <c r="D17" t="str">
        <f>CONCATENATE(B17, " ", C17)</f>
        <v>Gunpowder River Segment 2 (Oligohaline)</v>
      </c>
      <c r="E17">
        <v>9.1999999999999993</v>
      </c>
      <c r="F17" s="5">
        <v>0</v>
      </c>
      <c r="G17" s="5" t="s">
        <v>108</v>
      </c>
      <c r="H17" s="3">
        <v>39.710577000000001</v>
      </c>
      <c r="I17" s="3"/>
      <c r="J17" s="9">
        <v>0</v>
      </c>
      <c r="K17" s="9" t="s">
        <v>108</v>
      </c>
      <c r="L17" s="3">
        <v>0.24711</v>
      </c>
      <c r="M17" s="3"/>
      <c r="N17" s="3">
        <v>0</v>
      </c>
      <c r="O17" s="3"/>
      <c r="P17" s="3">
        <v>0</v>
      </c>
      <c r="Q17" s="3"/>
      <c r="R17" s="3">
        <v>26.762013</v>
      </c>
      <c r="S17" s="3"/>
      <c r="T17" s="3">
        <v>28.046984999999996</v>
      </c>
      <c r="U17" s="3"/>
      <c r="V17" s="3">
        <v>27.058544999999995</v>
      </c>
      <c r="W17" s="3"/>
      <c r="X17" s="3">
        <v>44.430377999999997</v>
      </c>
      <c r="Y17" s="3"/>
      <c r="Z17" s="3">
        <v>54.290066999999993</v>
      </c>
      <c r="AA17" s="3"/>
      <c r="AB17" s="3">
        <v>190.86776399999997</v>
      </c>
      <c r="AC17" s="3"/>
      <c r="AD17" s="3">
        <v>395.15360099999998</v>
      </c>
      <c r="AE17" s="3"/>
      <c r="AF17" s="3">
        <v>386.40590700000001</v>
      </c>
      <c r="AG17" s="3"/>
      <c r="AH17" s="9">
        <v>147.35169300000001</v>
      </c>
      <c r="AI17" s="9" t="s">
        <v>108</v>
      </c>
      <c r="AJ17" s="3">
        <v>571.81254000000001</v>
      </c>
      <c r="AK17" s="3"/>
      <c r="AL17" s="7">
        <v>0</v>
      </c>
      <c r="AM17" s="7" t="s">
        <v>107</v>
      </c>
      <c r="AN17" s="3">
        <v>360.38522399999999</v>
      </c>
      <c r="AO17" s="3"/>
      <c r="AP17" s="3">
        <v>468.39700499999998</v>
      </c>
      <c r="AQ17" s="3"/>
      <c r="AR17" s="3">
        <v>1066.8480030000001</v>
      </c>
      <c r="AS17" s="3"/>
      <c r="AT17" s="3">
        <v>1290.704952</v>
      </c>
      <c r="AU17" s="3"/>
      <c r="AV17" s="3">
        <v>606.95158200000003</v>
      </c>
      <c r="AW17" s="3"/>
      <c r="AX17" s="3">
        <v>905.68286099999989</v>
      </c>
      <c r="AY17" s="3"/>
      <c r="AZ17" s="3">
        <v>936.54689999999994</v>
      </c>
      <c r="BA17" s="3"/>
      <c r="BB17" s="3">
        <v>1033.1421989999999</v>
      </c>
      <c r="BC17" s="3"/>
      <c r="BD17" s="3">
        <v>872.94078599999989</v>
      </c>
      <c r="BE17" s="3"/>
      <c r="BF17" s="3">
        <v>893.15438399999994</v>
      </c>
      <c r="BG17" s="3"/>
      <c r="BH17" s="3">
        <v>345.97871099999998</v>
      </c>
      <c r="BI17" s="3"/>
      <c r="BJ17" s="3">
        <v>467.30972100000002</v>
      </c>
      <c r="BK17" s="3"/>
      <c r="BL17" s="3">
        <v>587.92411199999992</v>
      </c>
      <c r="BM17" s="3"/>
      <c r="BN17" s="3">
        <v>891.91883399999995</v>
      </c>
      <c r="BO17" s="3"/>
      <c r="BP17" s="4">
        <v>734.58389699999987</v>
      </c>
      <c r="BQ17" s="4"/>
      <c r="BR17" s="4">
        <v>801.32830799999988</v>
      </c>
      <c r="BS17" s="4"/>
      <c r="BT17" s="3">
        <v>908.89529099999993</v>
      </c>
      <c r="BV17">
        <v>1060.1513219999999</v>
      </c>
      <c r="BX17" s="23">
        <v>1114.2437010000001</v>
      </c>
      <c r="BZ17">
        <v>1231.0031759999999</v>
      </c>
      <c r="CB17">
        <v>859.34973599999989</v>
      </c>
      <c r="CD17" s="35">
        <v>120.73550299999999</v>
      </c>
      <c r="CE17" s="35"/>
      <c r="CF17" s="35">
        <v>282</v>
      </c>
      <c r="CH17" s="24">
        <f>(CF17-CD17)/CD17</f>
        <v>1.3356841442073588</v>
      </c>
      <c r="CI17" s="3">
        <f>CF17-CD17</f>
        <v>161.26449700000001</v>
      </c>
      <c r="CJ17" s="24">
        <f>CF17/CK17</f>
        <v>0.49300699300699302</v>
      </c>
      <c r="CK17" s="38">
        <v>572</v>
      </c>
      <c r="CL17" t="s">
        <v>200</v>
      </c>
    </row>
    <row r="18" spans="1:90" x14ac:dyDescent="0.25">
      <c r="A18" s="12" t="s">
        <v>181</v>
      </c>
      <c r="B18" s="12" t="s">
        <v>172</v>
      </c>
      <c r="C18" s="12" t="s">
        <v>188</v>
      </c>
      <c r="D18" t="str">
        <f>CONCATENATE(B18, " ", C18)</f>
        <v>Gunpowder River (Oligohaline)</v>
      </c>
      <c r="E18" s="12">
        <v>9</v>
      </c>
      <c r="F18" s="15">
        <f>SUM(F16:F17)</f>
        <v>0</v>
      </c>
      <c r="G18" s="16" t="s">
        <v>108</v>
      </c>
      <c r="H18" s="13">
        <f>SUM(H16:H17)</f>
        <v>117.92089199999999</v>
      </c>
      <c r="I18" s="13"/>
      <c r="J18" s="16">
        <f>SUM(J16:J17)</f>
        <v>0</v>
      </c>
      <c r="K18" s="16" t="s">
        <v>108</v>
      </c>
      <c r="L18" s="13">
        <f>SUM(L16:L17)</f>
        <v>88.317114000000004</v>
      </c>
      <c r="M18" s="13"/>
      <c r="N18" s="13">
        <f>SUM(N16:N17)</f>
        <v>60.665504999999996</v>
      </c>
      <c r="O18" s="13"/>
      <c r="P18" s="13">
        <f>SUM(P16:P17)</f>
        <v>213.848994</v>
      </c>
      <c r="Q18" s="13"/>
      <c r="R18" s="13">
        <f>SUM(R16:R17)</f>
        <v>201.76531499999996</v>
      </c>
      <c r="S18" s="13"/>
      <c r="T18" s="13">
        <f>SUM(T16:T17)</f>
        <v>311.556288</v>
      </c>
      <c r="U18" s="13"/>
      <c r="V18" s="13">
        <f>SUM(V16:V17)</f>
        <v>115.15325999999999</v>
      </c>
      <c r="W18" s="13"/>
      <c r="X18" s="13">
        <f>SUM(X16:X17)</f>
        <v>220.54567499999996</v>
      </c>
      <c r="Y18" s="13"/>
      <c r="Z18" s="13">
        <f>SUM(Z16:Z17)</f>
        <v>168.65257499999998</v>
      </c>
      <c r="AA18" s="13"/>
      <c r="AB18" s="13">
        <f>SUM(AB16:AB17)</f>
        <v>918.90324599999997</v>
      </c>
      <c r="AC18" s="13"/>
      <c r="AD18" s="13">
        <f>SUM(AD16:AD17)</f>
        <v>1575.029718</v>
      </c>
      <c r="AE18" s="13"/>
      <c r="AF18" s="13">
        <f>SUM(AF16:AF17)</f>
        <v>2151.6361919999999</v>
      </c>
      <c r="AG18" s="13"/>
      <c r="AH18" s="16">
        <f>SUM(AH16:AH17)</f>
        <v>307.75079399999998</v>
      </c>
      <c r="AI18" s="16" t="s">
        <v>108</v>
      </c>
      <c r="AJ18" s="13">
        <f>SUM(AJ16:AJ17)</f>
        <v>2433.0450599999999</v>
      </c>
      <c r="AK18" s="13"/>
      <c r="AL18" s="17">
        <f>SUM(AL16:AL17)</f>
        <v>0</v>
      </c>
      <c r="AM18" s="17" t="s">
        <v>107</v>
      </c>
      <c r="AN18" s="13">
        <f>SUM(AN16:AN17)</f>
        <v>463.08413999999999</v>
      </c>
      <c r="AO18" s="13"/>
      <c r="AP18" s="13">
        <f>SUM(AP16:AP17)</f>
        <v>489.154245</v>
      </c>
      <c r="AQ18" s="13"/>
      <c r="AR18" s="13">
        <f>SUM(AR16:AR17)</f>
        <v>2391.0363600000001</v>
      </c>
      <c r="AS18" s="13"/>
      <c r="AT18" s="13">
        <f>SUM(AT16:AT17)</f>
        <v>1733.0318520000001</v>
      </c>
      <c r="AU18" s="13"/>
      <c r="AV18" s="13">
        <f>SUM(AV16:AV17)</f>
        <v>842.81807700000002</v>
      </c>
      <c r="AW18" s="13"/>
      <c r="AX18" s="13">
        <f>SUM(AX16:AX17)</f>
        <v>1464.6209699999999</v>
      </c>
      <c r="AY18" s="13"/>
      <c r="AZ18" s="13">
        <f>SUM(AZ16:AZ17)</f>
        <v>1719.2925359999999</v>
      </c>
      <c r="BA18" s="13"/>
      <c r="BB18" s="13">
        <f>SUM(BB16:BB17)</f>
        <v>1887.6732899999997</v>
      </c>
      <c r="BC18" s="13"/>
      <c r="BD18" s="13">
        <f>SUM(BD16:BD17)</f>
        <v>1729.9676879999997</v>
      </c>
      <c r="BE18" s="13"/>
      <c r="BF18" s="13">
        <f>SUM(BF16:BF17)</f>
        <v>1386.0647009999998</v>
      </c>
      <c r="BG18" s="13"/>
      <c r="BH18" s="13">
        <f>SUM(BH16:BH17)</f>
        <v>770.66195700000003</v>
      </c>
      <c r="BI18" s="13"/>
      <c r="BJ18" s="13">
        <f>SUM(BJ16:BJ17)</f>
        <v>799.07960700000001</v>
      </c>
      <c r="BK18" s="13"/>
      <c r="BL18" s="13">
        <f>SUM(BL16:BL17)</f>
        <v>916.50627899999995</v>
      </c>
      <c r="BM18" s="13"/>
      <c r="BN18" s="13">
        <f>SUM(BN16:BN17)</f>
        <v>1236.4148849999999</v>
      </c>
      <c r="BO18" s="13"/>
      <c r="BP18" s="14">
        <f>SUM(BP16:BP17)</f>
        <v>920.28706199999988</v>
      </c>
      <c r="BQ18" s="14"/>
      <c r="BR18" s="14">
        <f>SUM(BR16:BR17)</f>
        <v>1219.3148729999998</v>
      </c>
      <c r="BS18" s="14"/>
      <c r="BT18" s="13">
        <v>1514.092392</v>
      </c>
      <c r="BU18" s="12"/>
      <c r="BV18" s="12">
        <f>SUM(BV16:BV17)</f>
        <v>2038.6574999999998</v>
      </c>
      <c r="BW18" s="12"/>
      <c r="BX18" s="12">
        <f>SUM(BX16:BX17)</f>
        <v>2137.4273670000002</v>
      </c>
      <c r="BY18" s="12"/>
      <c r="BZ18" s="12">
        <v>2164.0905359999997</v>
      </c>
      <c r="CA18" s="12"/>
      <c r="CB18" s="12">
        <f>SUM(CB16:CB17)</f>
        <v>1285.9604399999998</v>
      </c>
      <c r="CC18" s="12"/>
      <c r="CD18" s="32">
        <f>SUM(CD16:CD17)</f>
        <v>207.29638449999999</v>
      </c>
      <c r="CE18" s="32"/>
      <c r="CF18" s="32">
        <f>SUM(CF16:CF17)</f>
        <v>466.48859299999998</v>
      </c>
      <c r="CH18" s="24">
        <f>(CF18-CD18)/CD18</f>
        <v>1.2503460160444815</v>
      </c>
      <c r="CI18" s="3">
        <f>CF18-CD18</f>
        <v>259.19220849999999</v>
      </c>
      <c r="CJ18" s="24">
        <f>CF18/CK18</f>
        <v>0.19181274383223684</v>
      </c>
      <c r="CK18" s="38">
        <f>SUM(CK16:CK17)</f>
        <v>2432</v>
      </c>
      <c r="CL18" t="s">
        <v>200</v>
      </c>
    </row>
    <row r="19" spans="1:90" x14ac:dyDescent="0.25">
      <c r="A19" t="s">
        <v>25</v>
      </c>
      <c r="B19" t="s">
        <v>26</v>
      </c>
      <c r="C19" t="s">
        <v>188</v>
      </c>
      <c r="D19" t="str">
        <f>CONCATENATE(B19, " ", C19)</f>
        <v>Middle River (Oligohaline)</v>
      </c>
      <c r="E19">
        <v>10</v>
      </c>
      <c r="F19" s="7">
        <v>0</v>
      </c>
      <c r="G19" s="7" t="s">
        <v>107</v>
      </c>
      <c r="H19" s="3">
        <v>193.61068499999996</v>
      </c>
      <c r="I19" s="3"/>
      <c r="J19" s="7">
        <v>0</v>
      </c>
      <c r="K19" s="7" t="s">
        <v>107</v>
      </c>
      <c r="L19" s="3">
        <v>94.02535499999999</v>
      </c>
      <c r="M19" s="3"/>
      <c r="N19" s="3">
        <v>19.571111999999999</v>
      </c>
      <c r="O19" s="3"/>
      <c r="P19" s="3">
        <v>7.3885890000000005</v>
      </c>
      <c r="Q19" s="3"/>
      <c r="R19" s="3">
        <v>19.472268</v>
      </c>
      <c r="S19" s="3"/>
      <c r="T19" s="3">
        <v>112.978692</v>
      </c>
      <c r="U19" s="3"/>
      <c r="V19" s="3">
        <v>16.482236999999998</v>
      </c>
      <c r="W19" s="3"/>
      <c r="X19" s="3">
        <v>61.826921999999996</v>
      </c>
      <c r="Y19" s="3"/>
      <c r="Z19" s="3">
        <v>11.762435999999999</v>
      </c>
      <c r="AA19" s="3"/>
      <c r="AB19" s="3">
        <v>76.999476000000001</v>
      </c>
      <c r="AC19" s="3"/>
      <c r="AD19" s="3">
        <v>290.033007</v>
      </c>
      <c r="AE19" s="3"/>
      <c r="AF19" s="3">
        <v>105.59010299999998</v>
      </c>
      <c r="AG19" s="3"/>
      <c r="AH19" s="3">
        <v>95.137349999999998</v>
      </c>
      <c r="AI19" s="3"/>
      <c r="AJ19" s="3">
        <v>740.26742699999988</v>
      </c>
      <c r="AK19" s="3"/>
      <c r="AL19" s="7">
        <v>0</v>
      </c>
      <c r="AM19" s="7" t="s">
        <v>107</v>
      </c>
      <c r="AN19" s="3">
        <v>629.46330299999988</v>
      </c>
      <c r="AO19" s="3"/>
      <c r="AP19" s="3">
        <v>391.07628599999998</v>
      </c>
      <c r="AQ19" s="3"/>
      <c r="AR19" s="3">
        <v>670.705962</v>
      </c>
      <c r="AS19" s="3"/>
      <c r="AT19" s="3">
        <v>453.76809299999996</v>
      </c>
      <c r="AU19" s="3"/>
      <c r="AV19" s="3">
        <v>230.67718499999998</v>
      </c>
      <c r="AW19" s="3"/>
      <c r="AX19" s="3">
        <v>550.38810299999989</v>
      </c>
      <c r="AY19" s="3"/>
      <c r="AZ19" s="3">
        <v>826.68179399999997</v>
      </c>
      <c r="BA19" s="3"/>
      <c r="BB19" s="3">
        <v>780.34866899999997</v>
      </c>
      <c r="BC19" s="3"/>
      <c r="BD19" s="3">
        <v>658.27632899999992</v>
      </c>
      <c r="BE19" s="3"/>
      <c r="BF19" s="3">
        <v>311.82810899999998</v>
      </c>
      <c r="BG19" s="3"/>
      <c r="BH19" s="3">
        <v>309.13460999999995</v>
      </c>
      <c r="BI19" s="3"/>
      <c r="BJ19" s="3">
        <v>366.63710700000001</v>
      </c>
      <c r="BK19" s="3"/>
      <c r="BL19" s="3">
        <v>519.07926599999996</v>
      </c>
      <c r="BM19" s="3"/>
      <c r="BN19" s="3">
        <v>841.18715099999997</v>
      </c>
      <c r="BO19" s="3"/>
      <c r="BP19" s="4">
        <v>950.26150499999994</v>
      </c>
      <c r="BQ19" s="4"/>
      <c r="BR19" s="4">
        <v>857.00219099999993</v>
      </c>
      <c r="BS19" s="4"/>
      <c r="BT19" s="3">
        <v>864.39077999999995</v>
      </c>
      <c r="BV19">
        <v>458.83384799999999</v>
      </c>
      <c r="BX19">
        <v>503.73373499999997</v>
      </c>
      <c r="BZ19">
        <v>687.97895100000005</v>
      </c>
      <c r="CB19">
        <v>416.99812499999996</v>
      </c>
      <c r="CD19" s="35">
        <v>277.99312500000002</v>
      </c>
      <c r="CE19" s="35"/>
      <c r="CF19" s="35">
        <v>410.58966799999996</v>
      </c>
      <c r="CH19" s="24">
        <f>(CF19-CD19)/CD19</f>
        <v>0.4769777777777775</v>
      </c>
      <c r="CI19" s="3">
        <f>CF19-CD19</f>
        <v>132.59654299999994</v>
      </c>
      <c r="CJ19" s="24">
        <f>CF19/CK19</f>
        <v>0.46710997497155854</v>
      </c>
      <c r="CK19" s="38">
        <v>879</v>
      </c>
      <c r="CL19" s="10" t="s">
        <v>214</v>
      </c>
    </row>
    <row r="20" spans="1:90" x14ac:dyDescent="0.25">
      <c r="A20" t="s">
        <v>27</v>
      </c>
      <c r="B20" t="s">
        <v>28</v>
      </c>
      <c r="C20" t="s">
        <v>188</v>
      </c>
      <c r="D20" t="str">
        <f>CONCATENATE(B20, " ", C20)</f>
        <v>Back River (Oligohaline)</v>
      </c>
      <c r="E20">
        <v>11</v>
      </c>
      <c r="F20" s="3">
        <v>0</v>
      </c>
      <c r="G20" s="3"/>
      <c r="H20" s="3">
        <v>0</v>
      </c>
      <c r="I20" s="3"/>
      <c r="J20" s="3">
        <v>0</v>
      </c>
      <c r="K20" s="3"/>
      <c r="L20" s="3">
        <v>0</v>
      </c>
      <c r="M20" s="3"/>
      <c r="N20" s="3">
        <v>0</v>
      </c>
      <c r="O20" s="3"/>
      <c r="P20" s="3">
        <v>0</v>
      </c>
      <c r="Q20" s="3"/>
      <c r="R20" s="3">
        <v>0</v>
      </c>
      <c r="S20" s="3"/>
      <c r="T20" s="3">
        <v>0</v>
      </c>
      <c r="U20" s="3"/>
      <c r="V20" s="3">
        <v>0</v>
      </c>
      <c r="W20" s="3"/>
      <c r="X20" s="3">
        <v>0</v>
      </c>
      <c r="Y20" s="3"/>
      <c r="Z20" s="3">
        <v>0</v>
      </c>
      <c r="AA20" s="3"/>
      <c r="AB20" s="3">
        <v>0</v>
      </c>
      <c r="AC20" s="3"/>
      <c r="AD20" s="3">
        <v>0</v>
      </c>
      <c r="AE20" s="3"/>
      <c r="AF20" s="3">
        <v>0</v>
      </c>
      <c r="AG20" s="3"/>
      <c r="AH20" s="3">
        <v>0</v>
      </c>
      <c r="AI20" s="3"/>
      <c r="AJ20" s="3">
        <v>0</v>
      </c>
      <c r="AK20" s="3"/>
      <c r="AL20" s="3">
        <v>0</v>
      </c>
      <c r="AM20" s="3"/>
      <c r="AN20" s="3">
        <v>0</v>
      </c>
      <c r="AO20" s="3"/>
      <c r="AP20" s="3">
        <v>0</v>
      </c>
      <c r="AQ20" s="3"/>
      <c r="AR20" s="3">
        <v>30.048575999999997</v>
      </c>
      <c r="AS20" s="3"/>
      <c r="AT20" s="3">
        <v>0</v>
      </c>
      <c r="AU20" s="3"/>
      <c r="AV20" s="3">
        <v>0</v>
      </c>
      <c r="AW20" s="3"/>
      <c r="AX20" s="3">
        <v>0</v>
      </c>
      <c r="AY20" s="3"/>
      <c r="AZ20" s="3">
        <v>0</v>
      </c>
      <c r="BA20" s="3"/>
      <c r="BB20" s="3">
        <v>0</v>
      </c>
      <c r="BC20" s="3"/>
      <c r="BD20" s="3">
        <v>2.4711E-2</v>
      </c>
      <c r="BE20" s="3"/>
      <c r="BF20" s="3">
        <v>10.576307999999999</v>
      </c>
      <c r="BG20" s="3"/>
      <c r="BH20" s="3">
        <v>2.4711E-2</v>
      </c>
      <c r="BI20" s="3"/>
      <c r="BJ20" s="3">
        <v>0</v>
      </c>
      <c r="BK20" s="3"/>
      <c r="BL20" s="3">
        <v>0</v>
      </c>
      <c r="BM20" s="3"/>
      <c r="BN20" s="3">
        <v>0</v>
      </c>
      <c r="BO20" s="3"/>
      <c r="BP20" s="4">
        <v>0</v>
      </c>
      <c r="BQ20" s="4"/>
      <c r="BR20" s="4">
        <v>0</v>
      </c>
      <c r="BS20" s="4"/>
      <c r="BT20" s="3">
        <v>0.568353</v>
      </c>
      <c r="BV20">
        <v>14.974865999999999</v>
      </c>
      <c r="BX20">
        <v>1.2355499999999999</v>
      </c>
      <c r="BZ20">
        <v>26.144237999999998</v>
      </c>
      <c r="CB20">
        <v>23.796693000000001</v>
      </c>
      <c r="CD20" s="35">
        <v>6.1034935000000008</v>
      </c>
      <c r="CE20" s="35"/>
      <c r="CF20" s="35">
        <v>82.508359499999997</v>
      </c>
      <c r="CH20" s="24">
        <f>(CF20-CD20)/CD20</f>
        <v>12.518218623481779</v>
      </c>
      <c r="CI20" s="3">
        <f>CF20-CD20</f>
        <v>76.404865999999998</v>
      </c>
      <c r="CJ20" s="24">
        <f>CF20/CK20</f>
        <v>2.7502786499999998</v>
      </c>
      <c r="CK20" s="38">
        <v>30</v>
      </c>
      <c r="CL20" s="22"/>
    </row>
    <row r="21" spans="1:90" x14ac:dyDescent="0.25">
      <c r="A21" t="s">
        <v>29</v>
      </c>
      <c r="B21" t="s">
        <v>30</v>
      </c>
      <c r="C21" t="s">
        <v>189</v>
      </c>
      <c r="D21" t="str">
        <f>CONCATENATE(B21, " ", C21)</f>
        <v>Upper Central Chesapeake Bay (Mesohaline)</v>
      </c>
      <c r="E21">
        <v>12</v>
      </c>
      <c r="F21" s="3">
        <v>944.55326400000001</v>
      </c>
      <c r="G21" s="3"/>
      <c r="H21" s="3">
        <v>905.46046200000001</v>
      </c>
      <c r="I21" s="3"/>
      <c r="J21" s="3">
        <v>435.13599899999997</v>
      </c>
      <c r="K21" s="3"/>
      <c r="L21" s="3">
        <v>561.75516300000004</v>
      </c>
      <c r="M21" s="3"/>
      <c r="N21" s="3">
        <v>227.88484199999999</v>
      </c>
      <c r="O21" s="3"/>
      <c r="P21" s="3">
        <v>86.191968000000003</v>
      </c>
      <c r="Q21" s="3"/>
      <c r="R21" s="3">
        <v>54.883130999999999</v>
      </c>
      <c r="S21" s="3"/>
      <c r="T21" s="3">
        <v>435.90204</v>
      </c>
      <c r="U21" s="3"/>
      <c r="V21" s="3">
        <v>800.2163129999999</v>
      </c>
      <c r="W21" s="3"/>
      <c r="X21" s="3">
        <v>819.91098</v>
      </c>
      <c r="Y21" s="3"/>
      <c r="Z21" s="3">
        <v>854.77820099999997</v>
      </c>
      <c r="AA21" s="3"/>
      <c r="AB21" s="3">
        <v>900.74066099999993</v>
      </c>
      <c r="AC21" s="3"/>
      <c r="AD21" s="3">
        <v>916.35801299999991</v>
      </c>
      <c r="AE21" s="3"/>
      <c r="AF21" s="3">
        <v>761.79070799999988</v>
      </c>
      <c r="AG21" s="3"/>
      <c r="AH21" s="9">
        <v>6.8696579999999994</v>
      </c>
      <c r="AI21" s="9" t="s">
        <v>108</v>
      </c>
      <c r="AJ21" s="3">
        <v>9.2419139999999995</v>
      </c>
      <c r="AK21" s="3"/>
      <c r="AL21" s="9">
        <v>1.2355499999999999</v>
      </c>
      <c r="AM21" s="9" t="s">
        <v>108</v>
      </c>
      <c r="AN21" s="3">
        <v>94.692551999999992</v>
      </c>
      <c r="AO21" s="3"/>
      <c r="AP21" s="9">
        <v>22.808253000000001</v>
      </c>
      <c r="AQ21" s="9" t="s">
        <v>108</v>
      </c>
      <c r="AR21" s="3">
        <v>908.62346999999988</v>
      </c>
      <c r="AS21" s="3"/>
      <c r="AT21" s="3">
        <v>566.474964</v>
      </c>
      <c r="AU21" s="3"/>
      <c r="AV21" s="3">
        <v>169.44332699999998</v>
      </c>
      <c r="AW21" s="3"/>
      <c r="AX21" s="3">
        <v>123.50557799999999</v>
      </c>
      <c r="AY21" s="3"/>
      <c r="AZ21" s="3">
        <v>188.74261799999996</v>
      </c>
      <c r="BA21" s="3"/>
      <c r="BB21" s="3">
        <v>234.45796799999997</v>
      </c>
      <c r="BC21" s="3"/>
      <c r="BD21" s="3">
        <v>202.58077800000001</v>
      </c>
      <c r="BE21" s="3"/>
      <c r="BF21" s="3">
        <v>767.44952699999999</v>
      </c>
      <c r="BG21" s="3"/>
      <c r="BH21" s="3">
        <v>433.72747199999998</v>
      </c>
      <c r="BI21" s="3"/>
      <c r="BJ21" s="3">
        <v>124.09864199999998</v>
      </c>
      <c r="BK21" s="3"/>
      <c r="BL21" s="3">
        <v>363.449388</v>
      </c>
      <c r="BM21" s="3"/>
      <c r="BN21" s="3">
        <v>630.62471999999991</v>
      </c>
      <c r="BO21" s="3"/>
      <c r="BP21" s="4">
        <v>744.96251700000005</v>
      </c>
      <c r="BQ21" s="4"/>
      <c r="BR21" s="4">
        <v>272.09282099999996</v>
      </c>
      <c r="BS21" s="4"/>
      <c r="BT21" s="3">
        <v>466.37070299999993</v>
      </c>
      <c r="BV21">
        <v>785.11789199999998</v>
      </c>
      <c r="BX21">
        <v>340.789401</v>
      </c>
      <c r="BZ21">
        <v>372.91370099999995</v>
      </c>
      <c r="CB21">
        <v>651.62906999999996</v>
      </c>
      <c r="CD21" s="35">
        <v>339.472849</v>
      </c>
      <c r="CE21" s="35"/>
      <c r="CF21" s="35">
        <v>575.13688749999994</v>
      </c>
      <c r="CH21" s="24">
        <f>(CF21-CD21)/CD21</f>
        <v>0.694205852380259</v>
      </c>
      <c r="CI21" s="3">
        <f>CF21-CD21</f>
        <v>235.66403849999995</v>
      </c>
      <c r="CJ21" s="24">
        <f>CF21/CK21</f>
        <v>0.41980794708029195</v>
      </c>
      <c r="CK21" s="38">
        <v>1370</v>
      </c>
      <c r="CL21" s="10" t="s">
        <v>218</v>
      </c>
    </row>
    <row r="22" spans="1:90" x14ac:dyDescent="0.25">
      <c r="A22" t="s">
        <v>31</v>
      </c>
      <c r="B22" t="s">
        <v>32</v>
      </c>
      <c r="C22" t="s">
        <v>189</v>
      </c>
      <c r="D22" t="str">
        <f>CONCATENATE(B22, " ", C22)</f>
        <v>Patapsco River (Mesohaline)</v>
      </c>
      <c r="E22">
        <v>13</v>
      </c>
      <c r="F22" s="3">
        <v>0</v>
      </c>
      <c r="G22" s="3"/>
      <c r="H22" s="3">
        <v>0</v>
      </c>
      <c r="I22" s="3"/>
      <c r="J22" s="3">
        <v>0</v>
      </c>
      <c r="K22" s="3"/>
      <c r="L22" s="3">
        <v>0</v>
      </c>
      <c r="M22" s="3"/>
      <c r="N22" s="3">
        <v>0</v>
      </c>
      <c r="O22" s="3"/>
      <c r="P22" s="3">
        <v>0</v>
      </c>
      <c r="Q22" s="3"/>
      <c r="R22" s="3">
        <v>0</v>
      </c>
      <c r="S22" s="3"/>
      <c r="T22" s="3">
        <v>0</v>
      </c>
      <c r="U22" s="3"/>
      <c r="V22" s="3">
        <v>0</v>
      </c>
      <c r="W22" s="3"/>
      <c r="X22" s="3">
        <v>0.91430699999999998</v>
      </c>
      <c r="Y22" s="3"/>
      <c r="Z22" s="3">
        <v>0</v>
      </c>
      <c r="AA22" s="3"/>
      <c r="AB22" s="3">
        <v>5.6835299999999993</v>
      </c>
      <c r="AC22" s="3"/>
      <c r="AD22" s="3">
        <v>4.7692229999999993</v>
      </c>
      <c r="AE22" s="3"/>
      <c r="AF22" s="3">
        <v>14.480646</v>
      </c>
      <c r="AG22" s="3"/>
      <c r="AH22" s="9">
        <v>0</v>
      </c>
      <c r="AI22" s="9" t="s">
        <v>108</v>
      </c>
      <c r="AJ22" s="3">
        <v>0</v>
      </c>
      <c r="AK22" s="3"/>
      <c r="AL22" s="9">
        <v>0</v>
      </c>
      <c r="AM22" s="9" t="s">
        <v>108</v>
      </c>
      <c r="AN22" s="3">
        <v>7.8828089999999991</v>
      </c>
      <c r="AO22" s="3"/>
      <c r="AP22" s="3">
        <v>6.5237039999999995</v>
      </c>
      <c r="AQ22" s="3"/>
      <c r="AR22" s="3">
        <v>202.35837899999999</v>
      </c>
      <c r="AS22" s="3"/>
      <c r="AT22" s="3">
        <v>278.86363499999999</v>
      </c>
      <c r="AU22" s="3"/>
      <c r="AV22" s="3">
        <v>48.087606000000001</v>
      </c>
      <c r="AW22" s="3"/>
      <c r="AX22" s="3">
        <v>9.068937</v>
      </c>
      <c r="AY22" s="3"/>
      <c r="AZ22" s="3">
        <v>18.137874</v>
      </c>
      <c r="BA22" s="3"/>
      <c r="BB22" s="3">
        <v>11.540037</v>
      </c>
      <c r="BC22" s="3"/>
      <c r="BD22" s="3">
        <v>0</v>
      </c>
      <c r="BE22" s="3"/>
      <c r="BF22" s="3">
        <v>3.6325169999999996</v>
      </c>
      <c r="BG22" s="3"/>
      <c r="BH22" s="3">
        <v>0</v>
      </c>
      <c r="BI22" s="3"/>
      <c r="BJ22" s="3">
        <v>0</v>
      </c>
      <c r="BK22" s="3"/>
      <c r="BL22" s="3">
        <v>16.778769</v>
      </c>
      <c r="BM22" s="3"/>
      <c r="BN22" s="3">
        <v>39.611733000000001</v>
      </c>
      <c r="BO22" s="3"/>
      <c r="BP22" s="4">
        <v>3.4595399999999996</v>
      </c>
      <c r="BQ22" s="4"/>
      <c r="BR22" s="4">
        <v>14.282957999999999</v>
      </c>
      <c r="BS22" s="4"/>
      <c r="BT22" s="3">
        <v>30.567506999999996</v>
      </c>
      <c r="BV22">
        <v>140.77856699999998</v>
      </c>
      <c r="BX22">
        <v>143.47206599999998</v>
      </c>
      <c r="BZ22">
        <v>164.37757199999999</v>
      </c>
      <c r="CB22">
        <v>176.80720499999998</v>
      </c>
      <c r="CD22" s="35">
        <v>179.69475599999998</v>
      </c>
      <c r="CE22" s="35"/>
      <c r="CF22" s="35">
        <v>228.226178</v>
      </c>
      <c r="CH22" s="24">
        <f>(CF22-CD22)/CD22</f>
        <v>0.2700770077007702</v>
      </c>
      <c r="CI22" s="3">
        <f>CF22-CD22</f>
        <v>48.53142200000002</v>
      </c>
      <c r="CJ22" s="24">
        <f>CF22/CK22</f>
        <v>0.58669968637532133</v>
      </c>
      <c r="CK22" s="38">
        <v>389</v>
      </c>
      <c r="CL22" s="10" t="s">
        <v>201</v>
      </c>
    </row>
    <row r="23" spans="1:90" x14ac:dyDescent="0.25">
      <c r="A23" t="s">
        <v>33</v>
      </c>
      <c r="B23" t="s">
        <v>34</v>
      </c>
      <c r="C23" t="s">
        <v>189</v>
      </c>
      <c r="D23" t="str">
        <f>CONCATENATE(B23, " ", C23)</f>
        <v>Magothy River (Mesohaline)</v>
      </c>
      <c r="E23">
        <v>14</v>
      </c>
      <c r="F23" s="3">
        <v>23.524871999999998</v>
      </c>
      <c r="G23" s="3"/>
      <c r="H23" s="3">
        <v>12.528477000000001</v>
      </c>
      <c r="I23" s="3"/>
      <c r="J23" s="3">
        <v>9.686712</v>
      </c>
      <c r="K23" s="3"/>
      <c r="L23" s="3">
        <v>0.642486</v>
      </c>
      <c r="M23" s="3"/>
      <c r="N23" s="3">
        <v>0</v>
      </c>
      <c r="O23" s="3"/>
      <c r="P23" s="3">
        <v>0</v>
      </c>
      <c r="Q23" s="3"/>
      <c r="R23" s="3">
        <v>0</v>
      </c>
      <c r="S23" s="3"/>
      <c r="T23" s="3">
        <v>0</v>
      </c>
      <c r="U23" s="3"/>
      <c r="V23" s="3">
        <v>32.643231</v>
      </c>
      <c r="W23" s="3"/>
      <c r="X23" s="3">
        <v>45.814193999999993</v>
      </c>
      <c r="Y23" s="3"/>
      <c r="Z23" s="3">
        <v>78.259737000000001</v>
      </c>
      <c r="AA23" s="3"/>
      <c r="AB23" s="3">
        <v>91.80136499999999</v>
      </c>
      <c r="AC23" s="3"/>
      <c r="AD23" s="3">
        <v>132.154428</v>
      </c>
      <c r="AE23" s="3"/>
      <c r="AF23" s="3">
        <v>197.73742199999998</v>
      </c>
      <c r="AG23" s="3"/>
      <c r="AH23" s="9">
        <v>65.237039999999993</v>
      </c>
      <c r="AI23" s="9" t="s">
        <v>108</v>
      </c>
      <c r="AJ23" s="3">
        <v>89.898617999999999</v>
      </c>
      <c r="AK23" s="3"/>
      <c r="AL23" s="7">
        <v>0</v>
      </c>
      <c r="AM23" s="7" t="s">
        <v>107</v>
      </c>
      <c r="AN23" s="3">
        <v>208.78323899999998</v>
      </c>
      <c r="AO23" s="3"/>
      <c r="AP23" s="3">
        <v>168.726708</v>
      </c>
      <c r="AQ23" s="3"/>
      <c r="AR23" s="3">
        <v>299.52203099999997</v>
      </c>
      <c r="AS23" s="3"/>
      <c r="AT23" s="3">
        <v>308.29443600000002</v>
      </c>
      <c r="AU23" s="3"/>
      <c r="AV23" s="3">
        <v>250.24829699999998</v>
      </c>
      <c r="AW23" s="3"/>
      <c r="AX23" s="3">
        <v>82.930115999999998</v>
      </c>
      <c r="AY23" s="3"/>
      <c r="AZ23" s="3">
        <v>89.651507999999993</v>
      </c>
      <c r="BA23" s="3"/>
      <c r="BB23" s="3">
        <v>12.10839</v>
      </c>
      <c r="BC23" s="3"/>
      <c r="BD23" s="3">
        <v>1.7544809999999997</v>
      </c>
      <c r="BE23" s="3"/>
      <c r="BF23" s="3">
        <v>7.858098</v>
      </c>
      <c r="BG23" s="3"/>
      <c r="BH23" s="3">
        <v>0</v>
      </c>
      <c r="BI23" s="3"/>
      <c r="BJ23" s="3">
        <v>0</v>
      </c>
      <c r="BK23" s="3"/>
      <c r="BL23" s="3">
        <v>18.953336999999998</v>
      </c>
      <c r="BM23" s="3"/>
      <c r="BN23" s="3">
        <v>31.704212999999999</v>
      </c>
      <c r="BO23" s="3"/>
      <c r="BP23" s="4">
        <v>11.292927000000001</v>
      </c>
      <c r="BQ23" s="4"/>
      <c r="BR23" s="4">
        <v>23.376606000000002</v>
      </c>
      <c r="BS23" s="4"/>
      <c r="BT23" s="3">
        <v>35.756816999999998</v>
      </c>
      <c r="BV23">
        <v>183.42975300000001</v>
      </c>
      <c r="BX23">
        <v>123.085491</v>
      </c>
      <c r="BZ23">
        <v>60.393684</v>
      </c>
      <c r="CB23">
        <v>80.95323599999999</v>
      </c>
      <c r="CD23" s="35">
        <v>72.797133000000002</v>
      </c>
      <c r="CE23" s="35"/>
      <c r="CF23" s="35">
        <v>72.846553999999998</v>
      </c>
      <c r="CH23" s="24">
        <f>(CF23-CD23)/CD23</f>
        <v>6.7888662593340414E-4</v>
      </c>
      <c r="CI23" s="3">
        <f>CF23-CD23</f>
        <v>4.9420999999995274E-2</v>
      </c>
      <c r="CJ23" s="24">
        <f>CF23/CK23</f>
        <v>0.12581442832469775</v>
      </c>
      <c r="CK23" s="38">
        <v>579</v>
      </c>
      <c r="CL23" t="s">
        <v>202</v>
      </c>
    </row>
    <row r="24" spans="1:90" x14ac:dyDescent="0.25">
      <c r="A24" t="s">
        <v>35</v>
      </c>
      <c r="B24" t="s">
        <v>36</v>
      </c>
      <c r="C24" t="s">
        <v>189</v>
      </c>
      <c r="D24" t="str">
        <f>CONCATENATE(B24, " ", C24)</f>
        <v>Lower Chester River (Mesohaline)</v>
      </c>
      <c r="E24">
        <v>15</v>
      </c>
      <c r="F24" s="3">
        <v>1033.265754</v>
      </c>
      <c r="G24" s="3"/>
      <c r="H24" s="3">
        <v>910.60034999999993</v>
      </c>
      <c r="I24" s="3"/>
      <c r="J24" s="3">
        <v>399.45331499999998</v>
      </c>
      <c r="K24" s="3"/>
      <c r="L24" s="3">
        <v>708.48908099999994</v>
      </c>
      <c r="M24" s="3"/>
      <c r="N24" s="3">
        <v>186.370362</v>
      </c>
      <c r="O24" s="3"/>
      <c r="P24" s="3">
        <v>80.187195000000003</v>
      </c>
      <c r="Q24" s="3"/>
      <c r="R24" s="3">
        <v>85.178816999999995</v>
      </c>
      <c r="S24" s="3"/>
      <c r="T24" s="3">
        <v>194.59912499999999</v>
      </c>
      <c r="U24" s="3"/>
      <c r="V24" s="3">
        <v>757.51570500000003</v>
      </c>
      <c r="W24" s="3"/>
      <c r="X24" s="3">
        <v>1012.7309129999999</v>
      </c>
      <c r="Y24" s="3"/>
      <c r="Z24" s="3">
        <v>1097.6626199999998</v>
      </c>
      <c r="AA24" s="3"/>
      <c r="AB24" s="3">
        <v>770.48897999999997</v>
      </c>
      <c r="AC24" s="3"/>
      <c r="AD24" s="3">
        <v>1049.747991</v>
      </c>
      <c r="AE24" s="3"/>
      <c r="AF24" s="3">
        <v>1180.9139789999999</v>
      </c>
      <c r="AG24" s="3"/>
      <c r="AH24" s="3">
        <v>735.74531400000001</v>
      </c>
      <c r="AI24" s="3"/>
      <c r="AJ24" s="3">
        <v>0</v>
      </c>
      <c r="AK24" s="3"/>
      <c r="AL24" s="3">
        <v>205.546098</v>
      </c>
      <c r="AM24" s="3"/>
      <c r="AN24" s="3">
        <v>204.85418999999999</v>
      </c>
      <c r="AO24" s="3"/>
      <c r="AP24" s="9">
        <v>116.932452</v>
      </c>
      <c r="AQ24" s="9" t="s">
        <v>108</v>
      </c>
      <c r="AR24" s="3">
        <v>730.70426999999995</v>
      </c>
      <c r="AS24" s="3"/>
      <c r="AT24" s="3">
        <v>461.84859</v>
      </c>
      <c r="AU24" s="3"/>
      <c r="AV24" s="3">
        <v>183.89926199999999</v>
      </c>
      <c r="AW24" s="3"/>
      <c r="AX24" s="3">
        <v>67.559873999999994</v>
      </c>
      <c r="AY24" s="3"/>
      <c r="AZ24" s="3">
        <v>82.781849999999991</v>
      </c>
      <c r="BA24" s="3"/>
      <c r="BB24" s="3">
        <v>95.335037999999983</v>
      </c>
      <c r="BC24" s="3"/>
      <c r="BD24" s="3">
        <v>84.116243999999995</v>
      </c>
      <c r="BE24" s="3"/>
      <c r="BF24" s="3">
        <v>283.48459199999996</v>
      </c>
      <c r="BG24" s="3"/>
      <c r="BH24" s="3">
        <v>173.81717399999999</v>
      </c>
      <c r="BI24" s="3"/>
      <c r="BJ24" s="3">
        <v>36.720545999999999</v>
      </c>
      <c r="BK24" s="3"/>
      <c r="BL24" s="3">
        <v>143.62033199999999</v>
      </c>
      <c r="BM24" s="3"/>
      <c r="BN24" s="3">
        <v>382.72396799999996</v>
      </c>
      <c r="BO24" s="3"/>
      <c r="BP24" s="4">
        <v>545.86599000000001</v>
      </c>
      <c r="BQ24" s="4"/>
      <c r="BR24" s="4">
        <v>235.14987599999998</v>
      </c>
      <c r="BS24" s="4"/>
      <c r="BT24" s="3">
        <v>381.76023900000001</v>
      </c>
      <c r="BV24">
        <v>766.53521999999998</v>
      </c>
      <c r="BX24">
        <v>369.80011500000001</v>
      </c>
      <c r="BZ24">
        <v>265.34671799999995</v>
      </c>
      <c r="CB24">
        <v>362.85632399999997</v>
      </c>
      <c r="CD24" s="35">
        <v>271.17302699999999</v>
      </c>
      <c r="CE24" s="35"/>
      <c r="CF24" s="35">
        <v>320.89055300000001</v>
      </c>
      <c r="CH24" s="24">
        <f>(CF24-CD24)/CD24</f>
        <v>0.18334244578093684</v>
      </c>
      <c r="CI24" s="3">
        <f>CF24-CD24</f>
        <v>49.717526000000021</v>
      </c>
      <c r="CJ24" s="24">
        <f>CF24/CK24</f>
        <v>0.10959376810109291</v>
      </c>
      <c r="CK24" s="38">
        <v>2928</v>
      </c>
      <c r="CL24" s="22"/>
    </row>
    <row r="25" spans="1:90" x14ac:dyDescent="0.25">
      <c r="A25" t="s">
        <v>37</v>
      </c>
      <c r="B25" t="s">
        <v>38</v>
      </c>
      <c r="C25" t="s">
        <v>188</v>
      </c>
      <c r="D25" t="str">
        <f>CONCATENATE(B25, " ", C25)</f>
        <v>Middle Chester River (Oligohaline)</v>
      </c>
      <c r="E25">
        <v>16</v>
      </c>
      <c r="F25" s="3">
        <v>0</v>
      </c>
      <c r="G25" s="3"/>
      <c r="H25" s="3">
        <v>0</v>
      </c>
      <c r="I25" s="3"/>
      <c r="J25" s="3">
        <v>0</v>
      </c>
      <c r="K25" s="3"/>
      <c r="L25" s="3">
        <v>0</v>
      </c>
      <c r="M25" s="3"/>
      <c r="N25" s="3">
        <v>0</v>
      </c>
      <c r="O25" s="3"/>
      <c r="P25" s="3">
        <v>0</v>
      </c>
      <c r="Q25" s="3"/>
      <c r="R25" s="3">
        <v>0</v>
      </c>
      <c r="S25" s="3"/>
      <c r="T25" s="3">
        <v>0</v>
      </c>
      <c r="U25" s="3"/>
      <c r="V25" s="3">
        <v>0</v>
      </c>
      <c r="W25" s="3"/>
      <c r="X25" s="3">
        <v>0</v>
      </c>
      <c r="Y25" s="3"/>
      <c r="Z25" s="3">
        <v>0</v>
      </c>
      <c r="AA25" s="3"/>
      <c r="AB25" s="3">
        <v>0</v>
      </c>
      <c r="AC25" s="3"/>
      <c r="AD25" s="3">
        <v>0</v>
      </c>
      <c r="AE25" s="3"/>
      <c r="AF25" s="3">
        <v>0</v>
      </c>
      <c r="AG25" s="3"/>
      <c r="AH25" s="3">
        <v>0</v>
      </c>
      <c r="AI25" s="3"/>
      <c r="AJ25" s="3">
        <v>0</v>
      </c>
      <c r="AK25" s="3"/>
      <c r="AL25" s="3">
        <v>0</v>
      </c>
      <c r="AM25" s="3"/>
      <c r="AN25" s="3">
        <v>0</v>
      </c>
      <c r="AO25" s="3"/>
      <c r="AP25" s="3">
        <v>0</v>
      </c>
      <c r="AQ25" s="3"/>
      <c r="AR25" s="3">
        <v>4.3491359999999997</v>
      </c>
      <c r="AS25" s="3"/>
      <c r="AT25" s="3">
        <v>228.08252999999999</v>
      </c>
      <c r="AU25" s="3"/>
      <c r="AV25" s="3">
        <v>0</v>
      </c>
      <c r="AW25" s="3"/>
      <c r="AX25" s="3">
        <v>0</v>
      </c>
      <c r="AY25" s="3"/>
      <c r="AZ25" s="3">
        <v>0</v>
      </c>
      <c r="BA25" s="3"/>
      <c r="BB25" s="3">
        <v>0</v>
      </c>
      <c r="BC25" s="3"/>
      <c r="BD25" s="3">
        <v>0</v>
      </c>
      <c r="BE25" s="3"/>
      <c r="BF25" s="3">
        <v>17.940185999999997</v>
      </c>
      <c r="BG25" s="3"/>
      <c r="BH25" s="3">
        <v>0</v>
      </c>
      <c r="BI25" s="3"/>
      <c r="BJ25" s="3">
        <v>0</v>
      </c>
      <c r="BK25" s="3"/>
      <c r="BL25" s="3">
        <v>19.669955999999999</v>
      </c>
      <c r="BM25" s="3"/>
      <c r="BN25" s="3">
        <v>93.580556999999985</v>
      </c>
      <c r="BO25" s="3"/>
      <c r="BP25" s="4">
        <v>101.78460899999999</v>
      </c>
      <c r="BQ25" s="4"/>
      <c r="BR25" s="4">
        <v>69.264932999999999</v>
      </c>
      <c r="BS25" s="4"/>
      <c r="BT25" s="3">
        <v>217.03671299999999</v>
      </c>
      <c r="BV25">
        <v>366.29115299999995</v>
      </c>
      <c r="BX25" s="23">
        <v>228.84857099999999</v>
      </c>
      <c r="BZ25">
        <v>9.7608449999999998</v>
      </c>
      <c r="CB25">
        <v>0</v>
      </c>
      <c r="CD25" s="35">
        <v>0</v>
      </c>
      <c r="CE25" s="35"/>
      <c r="CF25" s="35">
        <v>0</v>
      </c>
      <c r="CH25" s="24">
        <v>0</v>
      </c>
      <c r="CI25" s="3">
        <f>CF25-CD25</f>
        <v>0</v>
      </c>
      <c r="CJ25" s="24">
        <f>CF25/CK25</f>
        <v>0</v>
      </c>
      <c r="CK25" s="38">
        <v>77</v>
      </c>
    </row>
    <row r="26" spans="1:90" x14ac:dyDescent="0.25">
      <c r="A26" t="s">
        <v>39</v>
      </c>
      <c r="B26" t="s">
        <v>40</v>
      </c>
      <c r="C26" t="s">
        <v>187</v>
      </c>
      <c r="D26" t="str">
        <f>CONCATENATE(B26, " ", C26)</f>
        <v>Upper Chester River (Tidal Fresh)</v>
      </c>
      <c r="E26">
        <v>17</v>
      </c>
      <c r="F26" s="3">
        <v>0</v>
      </c>
      <c r="G26" s="3"/>
      <c r="H26" s="3">
        <v>0</v>
      </c>
      <c r="I26" s="3"/>
      <c r="J26" s="3">
        <v>0</v>
      </c>
      <c r="K26" s="3"/>
      <c r="L26" s="3">
        <v>0</v>
      </c>
      <c r="M26" s="3"/>
      <c r="N26" s="3">
        <v>0</v>
      </c>
      <c r="O26" s="3"/>
      <c r="P26" s="3">
        <v>0</v>
      </c>
      <c r="Q26" s="3"/>
      <c r="R26" s="3">
        <v>0</v>
      </c>
      <c r="S26" s="3"/>
      <c r="T26" s="3">
        <v>0</v>
      </c>
      <c r="U26" s="3"/>
      <c r="V26" s="3">
        <v>0</v>
      </c>
      <c r="W26" s="3"/>
      <c r="X26" s="3">
        <v>0</v>
      </c>
      <c r="Y26" s="3"/>
      <c r="Z26" s="3">
        <v>0</v>
      </c>
      <c r="AA26" s="3"/>
      <c r="AB26" s="3">
        <v>0</v>
      </c>
      <c r="AC26" s="3"/>
      <c r="AD26" s="3">
        <v>0</v>
      </c>
      <c r="AE26" s="3"/>
      <c r="AF26" s="3">
        <v>0</v>
      </c>
      <c r="AG26" s="3"/>
      <c r="AH26" s="3">
        <v>0</v>
      </c>
      <c r="AI26" s="3"/>
      <c r="AJ26" s="3">
        <v>0</v>
      </c>
      <c r="AK26" s="3"/>
      <c r="AL26" s="3">
        <v>0</v>
      </c>
      <c r="AM26" s="3"/>
      <c r="AN26" s="3">
        <v>0</v>
      </c>
      <c r="AO26" s="3"/>
      <c r="AP26" s="3">
        <v>0</v>
      </c>
      <c r="AQ26" s="3"/>
      <c r="AR26" s="3">
        <v>0</v>
      </c>
      <c r="AS26" s="3"/>
      <c r="AT26" s="3">
        <v>0.96372899999999995</v>
      </c>
      <c r="AU26" s="3"/>
      <c r="AV26" s="3">
        <v>0</v>
      </c>
      <c r="AW26" s="3"/>
      <c r="AX26" s="3">
        <v>0</v>
      </c>
      <c r="AY26" s="3"/>
      <c r="AZ26" s="3">
        <v>0</v>
      </c>
      <c r="BA26" s="3"/>
      <c r="BB26" s="3">
        <v>0</v>
      </c>
      <c r="BC26" s="3"/>
      <c r="BD26" s="3">
        <v>0</v>
      </c>
      <c r="BE26" s="3"/>
      <c r="BF26" s="3">
        <v>0</v>
      </c>
      <c r="BG26" s="3"/>
      <c r="BH26" s="3">
        <v>0</v>
      </c>
      <c r="BI26" s="3"/>
      <c r="BJ26" s="3">
        <v>0</v>
      </c>
      <c r="BK26" s="3"/>
      <c r="BL26" s="3">
        <v>9.9091109999999993</v>
      </c>
      <c r="BM26" s="3"/>
      <c r="BN26" s="3">
        <v>14.505357</v>
      </c>
      <c r="BO26" s="3"/>
      <c r="BP26" s="4">
        <v>358.33421099999998</v>
      </c>
      <c r="BQ26" s="4"/>
      <c r="BR26" s="4">
        <v>409.95549</v>
      </c>
      <c r="BS26" s="4"/>
      <c r="BT26" s="3">
        <v>472.30134299999997</v>
      </c>
      <c r="BV26">
        <v>483.27302699999996</v>
      </c>
      <c r="BX26" s="23">
        <v>191.238429</v>
      </c>
      <c r="BZ26">
        <v>14.554778999999998</v>
      </c>
      <c r="CB26">
        <v>5.0657549999999993</v>
      </c>
      <c r="CD26" s="35">
        <v>4.3243375000000004</v>
      </c>
      <c r="CE26" s="35"/>
      <c r="CF26" s="35">
        <v>2.7428655000000002</v>
      </c>
      <c r="CH26" s="24">
        <f>(CF26-CD26)/CD26</f>
        <v>-0.36571428571428571</v>
      </c>
      <c r="CI26" s="3">
        <f>CF26-CD26</f>
        <v>-1.5814720000000002</v>
      </c>
      <c r="CJ26" s="24">
        <f>CF26/CK26</f>
        <v>2.7428655000000002</v>
      </c>
      <c r="CK26" s="38">
        <v>1</v>
      </c>
    </row>
    <row r="27" spans="1:90" x14ac:dyDescent="0.25">
      <c r="A27" t="s">
        <v>41</v>
      </c>
      <c r="B27" t="s">
        <v>42</v>
      </c>
      <c r="C27" t="s">
        <v>189</v>
      </c>
      <c r="D27" t="str">
        <f>CONCATENATE(B27, " ", C27)</f>
        <v>Middle Central Chesapeake Bay (Mesohaline)</v>
      </c>
      <c r="E27">
        <v>18</v>
      </c>
      <c r="F27" s="3">
        <v>45.048152999999999</v>
      </c>
      <c r="G27" s="3"/>
      <c r="H27" s="3">
        <v>87.575783999999985</v>
      </c>
      <c r="I27" s="3"/>
      <c r="J27" s="3">
        <v>30.913460999999998</v>
      </c>
      <c r="K27" s="3"/>
      <c r="L27" s="3">
        <v>15.691484999999998</v>
      </c>
      <c r="M27" s="3"/>
      <c r="N27" s="3">
        <v>5.9800619999999993</v>
      </c>
      <c r="O27" s="3"/>
      <c r="P27" s="3">
        <v>12.133101</v>
      </c>
      <c r="Q27" s="3"/>
      <c r="R27" s="3">
        <v>5.5846859999999987</v>
      </c>
      <c r="S27" s="3"/>
      <c r="T27" s="3">
        <v>18.088452</v>
      </c>
      <c r="U27" s="3"/>
      <c r="V27" s="3">
        <v>12.058967999999998</v>
      </c>
      <c r="W27" s="3"/>
      <c r="X27" s="3">
        <v>0</v>
      </c>
      <c r="Y27" s="3"/>
      <c r="Z27" s="3">
        <v>0</v>
      </c>
      <c r="AA27" s="3"/>
      <c r="AB27" s="3">
        <v>0</v>
      </c>
      <c r="AC27" s="3"/>
      <c r="AD27" s="3">
        <v>50.113908000000002</v>
      </c>
      <c r="AE27" s="3"/>
      <c r="AF27" s="3">
        <v>0</v>
      </c>
      <c r="AG27" s="3"/>
      <c r="AH27" s="3">
        <v>24.21678</v>
      </c>
      <c r="AI27" s="3"/>
      <c r="AJ27" s="3">
        <v>0</v>
      </c>
      <c r="AK27" s="3"/>
      <c r="AL27" s="9">
        <v>112.163229</v>
      </c>
      <c r="AM27" s="9" t="s">
        <v>108</v>
      </c>
      <c r="AN27" s="3">
        <v>269.44874399999998</v>
      </c>
      <c r="AO27" s="3"/>
      <c r="AP27" s="3">
        <v>21.375015000000001</v>
      </c>
      <c r="AQ27" s="3"/>
      <c r="AR27" s="3">
        <v>10.403331</v>
      </c>
      <c r="AS27" s="3"/>
      <c r="AT27" s="3">
        <v>0</v>
      </c>
      <c r="AU27" s="3"/>
      <c r="AV27" s="3">
        <v>0</v>
      </c>
      <c r="AW27" s="3"/>
      <c r="AX27" s="3">
        <v>0</v>
      </c>
      <c r="AY27" s="3"/>
      <c r="AZ27" s="3">
        <v>0</v>
      </c>
      <c r="BA27" s="3"/>
      <c r="BB27" s="3">
        <v>0.37066499999999997</v>
      </c>
      <c r="BC27" s="3"/>
      <c r="BD27" s="3">
        <v>0</v>
      </c>
      <c r="BE27" s="3"/>
      <c r="BF27" s="3">
        <v>68.177649000000002</v>
      </c>
      <c r="BG27" s="3"/>
      <c r="BH27" s="3">
        <v>0</v>
      </c>
      <c r="BI27" s="3"/>
      <c r="BJ27" s="3">
        <v>0</v>
      </c>
      <c r="BK27" s="3"/>
      <c r="BL27" s="3">
        <v>0</v>
      </c>
      <c r="BM27" s="3"/>
      <c r="BN27" s="3">
        <v>0</v>
      </c>
      <c r="BO27" s="3"/>
      <c r="BP27" s="4">
        <v>35.732106000000002</v>
      </c>
      <c r="BQ27" s="4"/>
      <c r="BR27" s="4">
        <v>48.828935999999999</v>
      </c>
      <c r="BS27" s="4"/>
      <c r="BT27" s="3">
        <v>22.882385999999997</v>
      </c>
      <c r="BU27" t="s">
        <v>108</v>
      </c>
      <c r="BV27">
        <v>161.75820599999997</v>
      </c>
      <c r="BX27">
        <v>44.751620999999993</v>
      </c>
      <c r="BZ27">
        <v>42.379364999999993</v>
      </c>
      <c r="CB27">
        <v>38.277338999999998</v>
      </c>
      <c r="CD27" s="35">
        <v>43.589322000000003</v>
      </c>
      <c r="CE27" s="35"/>
      <c r="CF27" s="35">
        <v>14.356800499999999</v>
      </c>
      <c r="CH27" s="24">
        <f>(CF27-CD27)/CD27</f>
        <v>-0.67063492063492069</v>
      </c>
      <c r="CI27" s="3">
        <f>CF27-CD27</f>
        <v>-29.232521500000004</v>
      </c>
      <c r="CJ27" s="24">
        <f>CF27/CK27</f>
        <v>5.6679038689301216E-3</v>
      </c>
      <c r="CK27" s="38">
        <v>2533</v>
      </c>
      <c r="CL27" s="10" t="s">
        <v>209</v>
      </c>
    </row>
    <row r="28" spans="1:90" x14ac:dyDescent="0.25">
      <c r="A28" t="s">
        <v>43</v>
      </c>
      <c r="B28" t="s">
        <v>44</v>
      </c>
      <c r="C28" t="s">
        <v>189</v>
      </c>
      <c r="D28" t="str">
        <f>CONCATENATE(B28, " ", C28)</f>
        <v>Eastern Bay (Mesohaline)</v>
      </c>
      <c r="E28">
        <v>19</v>
      </c>
      <c r="F28" s="3">
        <v>215.23280999999997</v>
      </c>
      <c r="G28" s="3"/>
      <c r="H28" s="3">
        <v>971.98247399999991</v>
      </c>
      <c r="I28" s="3"/>
      <c r="J28" s="3">
        <v>624.32341499999995</v>
      </c>
      <c r="K28" s="3"/>
      <c r="L28" s="3">
        <v>2216.972076</v>
      </c>
      <c r="M28" s="3"/>
      <c r="N28" s="3">
        <v>2051.2601099999997</v>
      </c>
      <c r="O28" s="3"/>
      <c r="P28" s="3">
        <v>961.60385399999996</v>
      </c>
      <c r="Q28" s="3"/>
      <c r="R28" s="3">
        <v>167.86182300000002</v>
      </c>
      <c r="S28" s="3"/>
      <c r="T28" s="3">
        <v>1370.3237939999999</v>
      </c>
      <c r="U28" s="3"/>
      <c r="V28" s="3">
        <v>1813.0954919999999</v>
      </c>
      <c r="W28" s="3"/>
      <c r="X28" s="3">
        <v>2412.1395539999999</v>
      </c>
      <c r="Y28" s="3"/>
      <c r="Z28" s="3">
        <v>3328.6952549999996</v>
      </c>
      <c r="AA28" s="3"/>
      <c r="AB28" s="3">
        <v>3678.2570609999998</v>
      </c>
      <c r="AC28" s="3"/>
      <c r="AD28" s="3">
        <v>4567.3835519999993</v>
      </c>
      <c r="AE28" s="3"/>
      <c r="AF28" s="3">
        <v>2736.1254749999998</v>
      </c>
      <c r="AG28" s="3"/>
      <c r="AH28" s="3">
        <v>4955.6427839999997</v>
      </c>
      <c r="AI28" s="3"/>
      <c r="AJ28" s="3">
        <v>0</v>
      </c>
      <c r="AK28" s="3"/>
      <c r="AL28" s="3">
        <v>2886.8131530000001</v>
      </c>
      <c r="AM28" s="3"/>
      <c r="AN28" s="3">
        <v>2779.6168349999998</v>
      </c>
      <c r="AO28" s="3"/>
      <c r="AP28" s="3">
        <v>1637.9439239999999</v>
      </c>
      <c r="AQ28" s="3"/>
      <c r="AR28" s="3">
        <v>1039.1963940000001</v>
      </c>
      <c r="AS28" s="3"/>
      <c r="AT28" s="3">
        <v>767.52366000000006</v>
      </c>
      <c r="AU28" s="3"/>
      <c r="AV28" s="3">
        <v>565.338258</v>
      </c>
      <c r="AW28" s="3"/>
      <c r="AX28" s="3">
        <v>80.113061999999999</v>
      </c>
      <c r="AY28" s="3"/>
      <c r="AZ28" s="3">
        <v>89.873906999999988</v>
      </c>
      <c r="BA28" s="3"/>
      <c r="BB28" s="3">
        <v>473.24036099999995</v>
      </c>
      <c r="BC28" s="3"/>
      <c r="BD28" s="3">
        <v>421.69321500000001</v>
      </c>
      <c r="BE28" s="3"/>
      <c r="BF28" s="3">
        <v>1633.001724</v>
      </c>
      <c r="BG28" s="3"/>
      <c r="BH28" s="3">
        <v>228.55203899999998</v>
      </c>
      <c r="BI28" s="3"/>
      <c r="BJ28" s="3">
        <v>48.482982</v>
      </c>
      <c r="BK28" s="3"/>
      <c r="BL28" s="3">
        <v>216.19653899999997</v>
      </c>
      <c r="BM28" s="3"/>
      <c r="BN28" s="3">
        <v>1505.2458539999998</v>
      </c>
      <c r="BO28" s="3"/>
      <c r="BP28" s="4">
        <v>2327.059581</v>
      </c>
      <c r="BQ28" s="4"/>
      <c r="BR28" s="4">
        <v>2441.2738229999995</v>
      </c>
      <c r="BS28" s="4"/>
      <c r="BT28" s="3">
        <v>1837.0651619999999</v>
      </c>
      <c r="BV28">
        <v>2003.7902789999998</v>
      </c>
      <c r="BX28">
        <v>841.38483899999994</v>
      </c>
      <c r="BZ28">
        <v>511.19645699999995</v>
      </c>
      <c r="CB28">
        <v>572.13378299999999</v>
      </c>
      <c r="CD28" s="35">
        <v>974.85393549999992</v>
      </c>
      <c r="CE28" s="35"/>
      <c r="CF28" s="35">
        <v>623.9154145</v>
      </c>
      <c r="CH28" s="24">
        <f>(CF28-CD28)/CD28</f>
        <v>-0.35999087475602642</v>
      </c>
      <c r="CI28" s="3">
        <f>CF28-CD28</f>
        <v>-350.93852099999992</v>
      </c>
      <c r="CJ28" s="24">
        <f>CF28/CK28</f>
        <v>0.10048565219842165</v>
      </c>
      <c r="CK28" s="38">
        <v>6209</v>
      </c>
      <c r="CL28" s="22"/>
    </row>
    <row r="29" spans="1:90" x14ac:dyDescent="0.25">
      <c r="A29" t="s">
        <v>45</v>
      </c>
      <c r="B29" t="s">
        <v>46</v>
      </c>
      <c r="C29" t="s">
        <v>189</v>
      </c>
      <c r="D29" t="str">
        <f>CONCATENATE(B29, " ", C29)</f>
        <v>Mouth of the Choptank River (Mesohaline)</v>
      </c>
      <c r="E29">
        <v>20</v>
      </c>
      <c r="F29" s="3">
        <v>142.70602499999998</v>
      </c>
      <c r="G29" s="3"/>
      <c r="H29" s="3">
        <v>3471.5001239999997</v>
      </c>
      <c r="I29" s="3"/>
      <c r="J29" s="3">
        <v>700.33445100000006</v>
      </c>
      <c r="K29" s="3"/>
      <c r="L29" s="3">
        <v>697.07259899999985</v>
      </c>
      <c r="M29" s="3"/>
      <c r="N29" s="3">
        <v>2070.9794879999999</v>
      </c>
      <c r="O29" s="3"/>
      <c r="P29" s="3">
        <v>294.57983099999996</v>
      </c>
      <c r="Q29" s="3"/>
      <c r="R29" s="3">
        <v>201.76531500000002</v>
      </c>
      <c r="S29" s="3"/>
      <c r="T29" s="3">
        <v>2302.4721359999999</v>
      </c>
      <c r="U29" s="3"/>
      <c r="V29" s="3">
        <v>4284.8132669999995</v>
      </c>
      <c r="W29" s="3"/>
      <c r="X29" s="3">
        <v>3607.4106239999996</v>
      </c>
      <c r="Y29" s="3"/>
      <c r="Z29" s="3">
        <v>3656.5855139999999</v>
      </c>
      <c r="AA29" s="3"/>
      <c r="AB29" s="3">
        <v>5791.3935149999998</v>
      </c>
      <c r="AC29" s="3"/>
      <c r="AD29" s="3">
        <v>6900.7691489999997</v>
      </c>
      <c r="AE29" s="3"/>
      <c r="AF29" s="3">
        <v>5642.2873409999993</v>
      </c>
      <c r="AG29" s="3"/>
      <c r="AH29" s="3">
        <v>3789.5801159999996</v>
      </c>
      <c r="AI29" s="3"/>
      <c r="AJ29" s="3">
        <v>1681.9542149999997</v>
      </c>
      <c r="AK29" s="3"/>
      <c r="AL29" s="3">
        <v>5259.7610610000002</v>
      </c>
      <c r="AM29" s="3"/>
      <c r="AN29" s="3">
        <v>6584.5424819999989</v>
      </c>
      <c r="AO29" s="3"/>
      <c r="AP29" s="3">
        <v>2970.2621999999997</v>
      </c>
      <c r="AQ29" s="3"/>
      <c r="AR29" s="3">
        <v>3772.4306819999997</v>
      </c>
      <c r="AS29" s="3"/>
      <c r="AT29" s="3">
        <v>2292.4394699999998</v>
      </c>
      <c r="AU29" s="3"/>
      <c r="AV29" s="3">
        <v>1042.8783329999999</v>
      </c>
      <c r="AW29" s="3"/>
      <c r="AX29" s="3">
        <v>1256.9003039999998</v>
      </c>
      <c r="AY29" s="3"/>
      <c r="AZ29" s="3">
        <v>460.51419600000003</v>
      </c>
      <c r="BA29" s="3"/>
      <c r="BB29" s="3">
        <v>649.03441499999985</v>
      </c>
      <c r="BC29" s="3"/>
      <c r="BD29" s="3">
        <v>404.12369399999994</v>
      </c>
      <c r="BE29" s="3"/>
      <c r="BF29" s="3">
        <v>2825.9005379999999</v>
      </c>
      <c r="BG29" s="3"/>
      <c r="BH29" s="3">
        <v>755.95891199999994</v>
      </c>
      <c r="BI29" s="3"/>
      <c r="BJ29" s="3">
        <v>1261.7683709999999</v>
      </c>
      <c r="BK29" s="3"/>
      <c r="BL29" s="3">
        <v>3792.5454359999999</v>
      </c>
      <c r="BM29" s="3"/>
      <c r="BN29" s="3">
        <v>6045.6202830000002</v>
      </c>
      <c r="BO29" s="3"/>
      <c r="BP29" s="4">
        <v>7260.7589969999999</v>
      </c>
      <c r="BQ29" s="4"/>
      <c r="BR29" s="4">
        <v>8707.6127579999993</v>
      </c>
      <c r="BS29" s="4"/>
      <c r="BT29" s="3">
        <v>5350.0056329999998</v>
      </c>
      <c r="BU29" t="s">
        <v>108</v>
      </c>
      <c r="BV29">
        <v>5317.4365349999998</v>
      </c>
      <c r="BX29">
        <v>4531.5278909999997</v>
      </c>
      <c r="BZ29">
        <v>4170.178938</v>
      </c>
      <c r="CB29">
        <v>5001.9759089999998</v>
      </c>
      <c r="CD29" s="35">
        <v>5424.7207754999999</v>
      </c>
      <c r="CE29" s="35"/>
      <c r="CF29" s="35">
        <v>3214.2924189999999</v>
      </c>
      <c r="CH29" s="24">
        <f>(CF29-CD29)/CD29</f>
        <v>-0.40747320423994793</v>
      </c>
      <c r="CI29" s="3">
        <f>CF29-CD29</f>
        <v>-2210.4283565000001</v>
      </c>
      <c r="CJ29" s="24">
        <f>CF29/CK29</f>
        <v>0.39275322812805474</v>
      </c>
      <c r="CK29" s="38">
        <v>8184</v>
      </c>
      <c r="CL29" s="10" t="s">
        <v>208</v>
      </c>
    </row>
    <row r="30" spans="1:90" x14ac:dyDescent="0.25">
      <c r="A30" t="s">
        <v>47</v>
      </c>
      <c r="B30" t="s">
        <v>48</v>
      </c>
      <c r="C30" t="s">
        <v>189</v>
      </c>
      <c r="D30" t="str">
        <f>CONCATENATE(B30, " ", C30)</f>
        <v>Lower Choptank River (Mesohaline)</v>
      </c>
      <c r="E30">
        <v>21</v>
      </c>
      <c r="F30" s="3">
        <v>0</v>
      </c>
      <c r="G30" s="3"/>
      <c r="H30" s="3">
        <v>89.997461999999999</v>
      </c>
      <c r="I30" s="3"/>
      <c r="J30" s="3">
        <v>21.720968999999997</v>
      </c>
      <c r="K30" s="3"/>
      <c r="L30" s="3">
        <v>0</v>
      </c>
      <c r="M30" s="3"/>
      <c r="N30" s="3">
        <v>0</v>
      </c>
      <c r="O30" s="3"/>
      <c r="P30" s="3">
        <v>0</v>
      </c>
      <c r="Q30" s="3"/>
      <c r="R30" s="3">
        <v>0</v>
      </c>
      <c r="S30" s="3"/>
      <c r="T30" s="3">
        <v>13.986426</v>
      </c>
      <c r="U30" s="3"/>
      <c r="V30" s="3">
        <v>9.9338219999999975</v>
      </c>
      <c r="W30" s="3"/>
      <c r="X30" s="3">
        <v>0</v>
      </c>
      <c r="Y30" s="3"/>
      <c r="Z30" s="3">
        <v>0</v>
      </c>
      <c r="AA30" s="3"/>
      <c r="AB30" s="3">
        <v>0</v>
      </c>
      <c r="AC30" s="3"/>
      <c r="AD30" s="3">
        <v>4.3491359999999997</v>
      </c>
      <c r="AE30" s="3"/>
      <c r="AF30" s="3">
        <v>0</v>
      </c>
      <c r="AG30" s="3"/>
      <c r="AH30" s="3">
        <v>0</v>
      </c>
      <c r="AI30" s="3"/>
      <c r="AJ30" s="3">
        <v>0</v>
      </c>
      <c r="AK30" s="3"/>
      <c r="AL30" s="3">
        <v>148.14244500000001</v>
      </c>
      <c r="AM30" s="3"/>
      <c r="AN30" s="3">
        <v>154.44374999999999</v>
      </c>
      <c r="AO30" s="3"/>
      <c r="AP30" s="3">
        <v>0</v>
      </c>
      <c r="AQ30" s="3"/>
      <c r="AR30" s="3">
        <v>0.98843999999999999</v>
      </c>
      <c r="AS30" s="3"/>
      <c r="AT30" s="3">
        <v>0</v>
      </c>
      <c r="AU30" s="3"/>
      <c r="AV30" s="3">
        <v>0</v>
      </c>
      <c r="AW30" s="3"/>
      <c r="AX30" s="3">
        <v>0</v>
      </c>
      <c r="AY30" s="3"/>
      <c r="AZ30" s="3">
        <v>0</v>
      </c>
      <c r="BA30" s="3"/>
      <c r="BB30" s="3">
        <v>0</v>
      </c>
      <c r="BC30" s="3"/>
      <c r="BD30" s="3">
        <v>0</v>
      </c>
      <c r="BE30" s="3"/>
      <c r="BF30" s="3">
        <v>44.726910000000004</v>
      </c>
      <c r="BG30" s="3"/>
      <c r="BH30" s="3">
        <v>18.162584999999996</v>
      </c>
      <c r="BI30" s="3"/>
      <c r="BJ30" s="3">
        <v>0</v>
      </c>
      <c r="BK30" s="3"/>
      <c r="BL30" s="3">
        <v>19.842932999999999</v>
      </c>
      <c r="BM30" s="3"/>
      <c r="BN30" s="3">
        <v>32.989184999999999</v>
      </c>
      <c r="BO30" s="3"/>
      <c r="BP30" s="4">
        <v>30.023865000000001</v>
      </c>
      <c r="BQ30" s="4"/>
      <c r="BR30" s="4">
        <v>20.880794999999996</v>
      </c>
      <c r="BS30" s="4"/>
      <c r="BT30" s="3">
        <v>0</v>
      </c>
      <c r="BU30" t="s">
        <v>108</v>
      </c>
      <c r="BV30">
        <v>23.055363</v>
      </c>
      <c r="BX30">
        <v>30.518084999999996</v>
      </c>
      <c r="BZ30">
        <v>9.1183589999999999</v>
      </c>
      <c r="CB30">
        <v>7.4874329999999993</v>
      </c>
      <c r="CD30" s="35">
        <v>15.518194000000001</v>
      </c>
      <c r="CE30" s="35"/>
      <c r="CF30" s="35">
        <v>9.8347789999999993</v>
      </c>
      <c r="CH30" s="24">
        <f>(CF30-CD30)/CD30</f>
        <v>-0.36624203821656059</v>
      </c>
      <c r="CI30" s="3">
        <f>CF30-CD30</f>
        <v>-5.6834150000000019</v>
      </c>
      <c r="CJ30" s="24">
        <f>CF30/CK30</f>
        <v>6.0671061073411473E-3</v>
      </c>
      <c r="CK30" s="38">
        <v>1621</v>
      </c>
      <c r="CL30" s="10" t="s">
        <v>208</v>
      </c>
    </row>
    <row r="31" spans="1:90" x14ac:dyDescent="0.25">
      <c r="A31" t="s">
        <v>49</v>
      </c>
      <c r="B31" t="s">
        <v>50</v>
      </c>
      <c r="C31" t="s">
        <v>188</v>
      </c>
      <c r="D31" t="str">
        <f>CONCATENATE(B31, " ", C31)</f>
        <v>Middle Choptank River (Oligohaline)</v>
      </c>
      <c r="E31">
        <v>22</v>
      </c>
      <c r="F31" s="3">
        <v>0</v>
      </c>
      <c r="G31" s="3"/>
      <c r="H31" s="3">
        <v>0</v>
      </c>
      <c r="I31" s="3"/>
      <c r="J31" s="3">
        <v>0</v>
      </c>
      <c r="K31" s="3"/>
      <c r="L31" s="3">
        <v>0</v>
      </c>
      <c r="M31" s="3"/>
      <c r="N31" s="3">
        <v>0</v>
      </c>
      <c r="O31" s="3"/>
      <c r="P31" s="3">
        <v>0</v>
      </c>
      <c r="Q31" s="3"/>
      <c r="R31" s="3">
        <v>0</v>
      </c>
      <c r="S31" s="3"/>
      <c r="T31" s="3">
        <v>0</v>
      </c>
      <c r="U31" s="3"/>
      <c r="V31" s="3">
        <v>0</v>
      </c>
      <c r="W31" s="3"/>
      <c r="X31" s="3">
        <v>0</v>
      </c>
      <c r="Y31" s="3"/>
      <c r="Z31" s="3">
        <v>0</v>
      </c>
      <c r="AA31" s="3"/>
      <c r="AB31" s="3">
        <v>0</v>
      </c>
      <c r="AC31" s="3"/>
      <c r="AD31" s="3">
        <v>0</v>
      </c>
      <c r="AE31" s="3"/>
      <c r="AF31" s="3">
        <v>0</v>
      </c>
      <c r="AG31" s="3"/>
      <c r="AH31" s="3">
        <v>0</v>
      </c>
      <c r="AI31" s="3"/>
      <c r="AJ31" s="3">
        <v>0</v>
      </c>
      <c r="AK31" s="3"/>
      <c r="AL31" s="3">
        <v>0</v>
      </c>
      <c r="AM31" s="3"/>
      <c r="AN31" s="3">
        <v>0</v>
      </c>
      <c r="AO31" s="3"/>
      <c r="AP31" s="3">
        <v>0</v>
      </c>
      <c r="AQ31" s="3"/>
      <c r="AR31" s="3">
        <v>0</v>
      </c>
      <c r="AS31" s="3"/>
      <c r="AT31" s="3">
        <v>0</v>
      </c>
      <c r="AU31" s="3"/>
      <c r="AV31" s="3">
        <v>0</v>
      </c>
      <c r="AW31" s="3"/>
      <c r="AX31" s="3">
        <v>0</v>
      </c>
      <c r="AY31" s="3"/>
      <c r="AZ31" s="3">
        <v>0</v>
      </c>
      <c r="BA31" s="3"/>
      <c r="BB31" s="3">
        <v>0</v>
      </c>
      <c r="BC31" s="3"/>
      <c r="BD31" s="3">
        <v>0</v>
      </c>
      <c r="BE31" s="3"/>
      <c r="BF31" s="3">
        <v>0</v>
      </c>
      <c r="BG31" s="3"/>
      <c r="BH31" s="3">
        <v>0</v>
      </c>
      <c r="BI31" s="3"/>
      <c r="BJ31" s="3">
        <v>0</v>
      </c>
      <c r="BK31" s="3"/>
      <c r="BL31" s="3">
        <v>0</v>
      </c>
      <c r="BM31" s="3"/>
      <c r="BN31" s="3">
        <v>19.200446999999997</v>
      </c>
      <c r="BO31" s="3"/>
      <c r="BP31" s="4">
        <v>26.514903</v>
      </c>
      <c r="BQ31" s="4"/>
      <c r="BR31" s="4">
        <v>0</v>
      </c>
      <c r="BS31" s="4"/>
      <c r="BT31" s="3">
        <v>0</v>
      </c>
      <c r="BV31">
        <v>7.3638779999999997</v>
      </c>
      <c r="BX31">
        <v>0</v>
      </c>
      <c r="BZ31">
        <v>0</v>
      </c>
      <c r="CB31">
        <v>1.359105</v>
      </c>
      <c r="CD31" s="35">
        <v>0</v>
      </c>
      <c r="CE31" s="35"/>
      <c r="CF31" s="35">
        <v>0</v>
      </c>
      <c r="CH31" s="24">
        <v>0</v>
      </c>
      <c r="CI31" s="3">
        <f>CF31-CD31</f>
        <v>0</v>
      </c>
      <c r="CJ31" s="24">
        <f>CF31/CK31</f>
        <v>0</v>
      </c>
      <c r="CK31" s="38">
        <v>72</v>
      </c>
    </row>
    <row r="32" spans="1:90" x14ac:dyDescent="0.25">
      <c r="A32" t="s">
        <v>51</v>
      </c>
      <c r="B32" t="s">
        <v>52</v>
      </c>
      <c r="C32" t="s">
        <v>187</v>
      </c>
      <c r="D32" t="str">
        <f>CONCATENATE(B32, " ", C32)</f>
        <v>Upper Choptank River (Tidal Fresh)</v>
      </c>
      <c r="E32">
        <v>23</v>
      </c>
      <c r="F32" s="3">
        <v>0</v>
      </c>
      <c r="G32" s="3"/>
      <c r="H32" s="3">
        <v>0</v>
      </c>
      <c r="I32" s="3"/>
      <c r="J32" s="3">
        <v>0</v>
      </c>
      <c r="K32" s="3"/>
      <c r="L32" s="3">
        <v>0</v>
      </c>
      <c r="M32" s="3"/>
      <c r="N32" s="3">
        <v>0</v>
      </c>
      <c r="O32" s="3"/>
      <c r="P32" s="3">
        <v>0</v>
      </c>
      <c r="Q32" s="3"/>
      <c r="R32" s="3">
        <v>0</v>
      </c>
      <c r="S32" s="3"/>
      <c r="T32" s="3">
        <v>0</v>
      </c>
      <c r="U32" s="3"/>
      <c r="V32" s="3">
        <v>0</v>
      </c>
      <c r="W32" s="3"/>
      <c r="X32" s="3">
        <v>0</v>
      </c>
      <c r="Y32" s="3"/>
      <c r="Z32" s="3">
        <v>0</v>
      </c>
      <c r="AA32" s="3"/>
      <c r="AB32" s="3">
        <v>0</v>
      </c>
      <c r="AC32" s="3"/>
      <c r="AD32" s="3">
        <v>0</v>
      </c>
      <c r="AE32" s="3"/>
      <c r="AF32" s="3">
        <v>0</v>
      </c>
      <c r="AG32" s="3"/>
      <c r="AH32" s="3">
        <v>0</v>
      </c>
      <c r="AI32" s="3"/>
      <c r="AJ32" s="3">
        <v>0</v>
      </c>
      <c r="AK32" s="3"/>
      <c r="AL32" s="3">
        <v>0</v>
      </c>
      <c r="AM32" s="3"/>
      <c r="AN32" s="3">
        <v>0</v>
      </c>
      <c r="AO32" s="3"/>
      <c r="AP32" s="3">
        <v>0</v>
      </c>
      <c r="AQ32" s="3"/>
      <c r="AR32" s="3">
        <v>0</v>
      </c>
      <c r="AS32" s="3"/>
      <c r="AT32" s="3">
        <v>0</v>
      </c>
      <c r="AU32" s="3"/>
      <c r="AV32" s="3">
        <v>0</v>
      </c>
      <c r="AW32" s="3"/>
      <c r="AX32" s="3">
        <v>0</v>
      </c>
      <c r="AY32" s="3"/>
      <c r="AZ32" s="3">
        <v>0</v>
      </c>
      <c r="BA32" s="3"/>
      <c r="BB32" s="3">
        <v>0</v>
      </c>
      <c r="BC32" s="3"/>
      <c r="BD32" s="3">
        <v>0</v>
      </c>
      <c r="BE32" s="3"/>
      <c r="BF32" s="3">
        <v>0</v>
      </c>
      <c r="BG32" s="3"/>
      <c r="BH32" s="3">
        <v>0</v>
      </c>
      <c r="BI32" s="3"/>
      <c r="BJ32" s="3">
        <v>0</v>
      </c>
      <c r="BK32" s="3"/>
      <c r="BL32" s="3">
        <v>0</v>
      </c>
      <c r="BM32" s="3"/>
      <c r="BN32" s="3">
        <v>0</v>
      </c>
      <c r="BO32" s="3"/>
      <c r="BP32" s="4">
        <v>0</v>
      </c>
      <c r="BQ32" s="4"/>
      <c r="BR32" s="4">
        <v>0</v>
      </c>
      <c r="BS32" s="4"/>
      <c r="BT32" s="3">
        <v>0</v>
      </c>
      <c r="BV32">
        <v>0</v>
      </c>
      <c r="BX32">
        <v>0</v>
      </c>
      <c r="BZ32">
        <v>0</v>
      </c>
      <c r="CB32">
        <v>0</v>
      </c>
      <c r="CD32" s="35">
        <v>0</v>
      </c>
      <c r="CE32" s="35"/>
      <c r="CF32" s="35">
        <v>0</v>
      </c>
      <c r="CH32" s="24">
        <v>0</v>
      </c>
      <c r="CI32" s="3">
        <f>CF32-CD32</f>
        <v>0</v>
      </c>
      <c r="CK32" s="38" t="s">
        <v>166</v>
      </c>
    </row>
    <row r="33" spans="1:90" x14ac:dyDescent="0.25">
      <c r="A33" t="s">
        <v>53</v>
      </c>
      <c r="B33" t="s">
        <v>54</v>
      </c>
      <c r="C33" t="s">
        <v>189</v>
      </c>
      <c r="D33" t="str">
        <f>CONCATENATE(B33, " ", C33)</f>
        <v>Little Choptank River (Mesohaline)</v>
      </c>
      <c r="E33">
        <v>24</v>
      </c>
      <c r="F33" s="3">
        <v>69.487331999999995</v>
      </c>
      <c r="G33" s="3"/>
      <c r="H33" s="3">
        <v>907.56089699999995</v>
      </c>
      <c r="I33" s="3"/>
      <c r="J33" s="3">
        <v>400.49117699999994</v>
      </c>
      <c r="K33" s="3"/>
      <c r="L33" s="3">
        <v>175.27512300000001</v>
      </c>
      <c r="M33" s="3"/>
      <c r="N33" s="3">
        <v>68.573025000000001</v>
      </c>
      <c r="O33" s="3"/>
      <c r="P33" s="3">
        <v>168.949107</v>
      </c>
      <c r="Q33" s="3"/>
      <c r="R33" s="3">
        <v>74.157711000000006</v>
      </c>
      <c r="S33" s="3"/>
      <c r="T33" s="3">
        <v>344.866716</v>
      </c>
      <c r="U33" s="3"/>
      <c r="V33" s="3">
        <v>381.56255099999998</v>
      </c>
      <c r="W33" s="3"/>
      <c r="X33" s="3">
        <v>132.895758</v>
      </c>
      <c r="Y33" s="3"/>
      <c r="Z33" s="3">
        <v>45.344684999999998</v>
      </c>
      <c r="AA33" s="3"/>
      <c r="AB33" s="3">
        <v>850.55261999999993</v>
      </c>
      <c r="AC33" s="3"/>
      <c r="AD33" s="3">
        <v>1308.1756289999998</v>
      </c>
      <c r="AE33" s="3"/>
      <c r="AF33" s="3">
        <v>1525.212342</v>
      </c>
      <c r="AG33" s="3"/>
      <c r="AH33" s="3">
        <v>1603.323813</v>
      </c>
      <c r="AI33" s="3"/>
      <c r="AJ33" s="3">
        <v>1157.4879510000001</v>
      </c>
      <c r="AK33" s="3"/>
      <c r="AL33" s="3">
        <v>2378.2607729999995</v>
      </c>
      <c r="AM33" s="3"/>
      <c r="AN33" s="3">
        <v>2904.9263159999996</v>
      </c>
      <c r="AO33" s="3"/>
      <c r="AP33" s="3">
        <v>783.90705300000002</v>
      </c>
      <c r="AQ33" s="3"/>
      <c r="AR33" s="3">
        <v>1220.4762899999998</v>
      </c>
      <c r="AS33" s="3"/>
      <c r="AT33" s="3">
        <v>259.46549999999996</v>
      </c>
      <c r="AU33" s="3"/>
      <c r="AV33" s="3">
        <v>120.812079</v>
      </c>
      <c r="AW33" s="3"/>
      <c r="AX33" s="3">
        <v>141.14923199999998</v>
      </c>
      <c r="AY33" s="3"/>
      <c r="AZ33" s="3">
        <v>80.459016000000005</v>
      </c>
      <c r="BA33" s="3"/>
      <c r="BB33" s="3">
        <v>176.60951699999998</v>
      </c>
      <c r="BC33" s="3"/>
      <c r="BD33" s="3">
        <v>170.851854</v>
      </c>
      <c r="BE33" s="3"/>
      <c r="BF33" s="3">
        <v>476.62576799999994</v>
      </c>
      <c r="BG33" s="3"/>
      <c r="BH33" s="3">
        <v>114.31308599999998</v>
      </c>
      <c r="BI33" s="3"/>
      <c r="BJ33" s="3">
        <v>49.347866999999994</v>
      </c>
      <c r="BK33" s="3"/>
      <c r="BL33" s="3">
        <v>240.98167199999997</v>
      </c>
      <c r="BM33" s="3"/>
      <c r="BN33" s="3">
        <v>847.83441000000005</v>
      </c>
      <c r="BO33" s="3"/>
      <c r="BP33" s="4">
        <v>1836.6697859999999</v>
      </c>
      <c r="BQ33" s="4"/>
      <c r="BR33" s="4">
        <v>2448.3905909999999</v>
      </c>
      <c r="BS33" s="4"/>
      <c r="BT33" s="3">
        <v>1081.921713</v>
      </c>
      <c r="BU33" t="s">
        <v>108</v>
      </c>
      <c r="BV33">
        <v>1503.0959969999999</v>
      </c>
      <c r="BX33">
        <v>551.27769899999998</v>
      </c>
      <c r="BZ33">
        <v>176.23885199999998</v>
      </c>
      <c r="CB33">
        <v>377.36168099999998</v>
      </c>
      <c r="CD33" s="35">
        <v>902.57572299999993</v>
      </c>
      <c r="CE33" s="35"/>
      <c r="CF33" s="35">
        <v>156.56572800000001</v>
      </c>
      <c r="CH33" s="24">
        <f>(CF33-CD33)/CD33</f>
        <v>-0.82653452335322775</v>
      </c>
      <c r="CI33" s="3">
        <f>CF33-CD33</f>
        <v>-746.00999499999989</v>
      </c>
      <c r="CJ33" s="24">
        <f>CF33/CK33</f>
        <v>3.8411611383709521E-2</v>
      </c>
      <c r="CK33" s="38">
        <v>4076</v>
      </c>
      <c r="CL33" s="10" t="s">
        <v>208</v>
      </c>
    </row>
    <row r="34" spans="1:90" x14ac:dyDescent="0.25">
      <c r="A34" t="s">
        <v>55</v>
      </c>
      <c r="B34" t="s">
        <v>56</v>
      </c>
      <c r="C34" t="s">
        <v>189</v>
      </c>
      <c r="D34" t="str">
        <f>CONCATENATE(B34, " ", C34)</f>
        <v>Severn River (Mesohaline)</v>
      </c>
      <c r="E34">
        <v>25</v>
      </c>
      <c r="F34" s="3">
        <v>0</v>
      </c>
      <c r="G34" s="3"/>
      <c r="H34" s="3">
        <v>0</v>
      </c>
      <c r="I34" s="3"/>
      <c r="J34" s="3">
        <v>0.29653199999999996</v>
      </c>
      <c r="K34" s="3"/>
      <c r="L34" s="3">
        <v>0</v>
      </c>
      <c r="M34" s="3"/>
      <c r="N34" s="3">
        <v>0</v>
      </c>
      <c r="O34" s="3"/>
      <c r="P34" s="3">
        <v>0</v>
      </c>
      <c r="Q34" s="3"/>
      <c r="R34" s="3">
        <v>0</v>
      </c>
      <c r="S34" s="3"/>
      <c r="T34" s="3">
        <v>0</v>
      </c>
      <c r="U34" s="3"/>
      <c r="V34" s="3">
        <v>0</v>
      </c>
      <c r="W34" s="3"/>
      <c r="X34" s="3">
        <v>77.394852</v>
      </c>
      <c r="Y34" s="3"/>
      <c r="Z34" s="3">
        <v>125.951967</v>
      </c>
      <c r="AA34" s="3"/>
      <c r="AB34" s="3">
        <v>272.46348599999999</v>
      </c>
      <c r="AC34" s="3"/>
      <c r="AD34" s="3">
        <v>306.09515699999997</v>
      </c>
      <c r="AE34" s="3"/>
      <c r="AF34" s="3">
        <v>403.77773999999999</v>
      </c>
      <c r="AG34" s="3"/>
      <c r="AH34" s="9">
        <v>454.95422100000002</v>
      </c>
      <c r="AI34" s="9" t="s">
        <v>108</v>
      </c>
      <c r="AJ34" s="3">
        <v>128.12653499999999</v>
      </c>
      <c r="AK34" s="3"/>
      <c r="AL34" s="9">
        <v>119.897772</v>
      </c>
      <c r="AM34" s="9" t="s">
        <v>108</v>
      </c>
      <c r="AN34" s="3">
        <v>282.02664299999998</v>
      </c>
      <c r="AO34" s="3"/>
      <c r="AP34" s="3">
        <v>221.58353699999998</v>
      </c>
      <c r="AQ34" s="3"/>
      <c r="AR34" s="3">
        <v>388.036833</v>
      </c>
      <c r="AS34" s="3"/>
      <c r="AT34" s="3">
        <v>425.52341999999993</v>
      </c>
      <c r="AU34" s="3"/>
      <c r="AV34" s="3">
        <v>410.86979700000001</v>
      </c>
      <c r="AW34" s="3"/>
      <c r="AX34" s="3">
        <v>325.93808999999999</v>
      </c>
      <c r="AY34" s="3"/>
      <c r="AZ34" s="3">
        <v>311.23504500000001</v>
      </c>
      <c r="BA34" s="3"/>
      <c r="BB34" s="3">
        <v>211.007229</v>
      </c>
      <c r="BC34" s="3"/>
      <c r="BD34" s="3">
        <v>174.780903</v>
      </c>
      <c r="BE34" s="3"/>
      <c r="BF34" s="3">
        <v>192.17744699999997</v>
      </c>
      <c r="BG34" s="3"/>
      <c r="BH34" s="3">
        <v>180.78567599999997</v>
      </c>
      <c r="BI34" s="3"/>
      <c r="BJ34" s="3">
        <v>74.997884999999997</v>
      </c>
      <c r="BK34" s="3"/>
      <c r="BL34" s="3">
        <v>143.44735499999999</v>
      </c>
      <c r="BM34" s="3"/>
      <c r="BN34" s="3">
        <v>231.344382</v>
      </c>
      <c r="BO34" s="3"/>
      <c r="BP34" s="4">
        <v>310.98793499999999</v>
      </c>
      <c r="BQ34" s="4"/>
      <c r="BR34" s="4">
        <v>194.82152400000001</v>
      </c>
      <c r="BS34" s="4"/>
      <c r="BT34" s="3">
        <v>223.65926099999999</v>
      </c>
      <c r="BV34">
        <v>404.09898299999998</v>
      </c>
      <c r="BX34">
        <v>294.85165199999994</v>
      </c>
      <c r="BZ34">
        <v>226.40218200000001</v>
      </c>
      <c r="CB34">
        <v>270.36305099999998</v>
      </c>
      <c r="CD34" s="35">
        <v>325.90678449999996</v>
      </c>
      <c r="CE34" s="35"/>
      <c r="CF34" s="35">
        <v>330.2064115</v>
      </c>
      <c r="CH34" s="24">
        <f>(CF34-CD34)/CD34</f>
        <v>1.31928121919783E-2</v>
      </c>
      <c r="CI34" s="3">
        <f>CF34-CD34</f>
        <v>4.2996270000000436</v>
      </c>
      <c r="CJ34" s="24">
        <f>CF34/CK34</f>
        <v>0.7257283769230769</v>
      </c>
      <c r="CK34" s="38">
        <v>455</v>
      </c>
      <c r="CL34" t="s">
        <v>201</v>
      </c>
    </row>
    <row r="35" spans="1:90" x14ac:dyDescent="0.25">
      <c r="A35" t="s">
        <v>57</v>
      </c>
      <c r="B35" t="s">
        <v>58</v>
      </c>
      <c r="C35" t="s">
        <v>189</v>
      </c>
      <c r="D35" t="str">
        <f>CONCATENATE(B35, " ", C35)</f>
        <v>South River (Mesohaline)</v>
      </c>
      <c r="E35">
        <v>26</v>
      </c>
      <c r="F35" s="3">
        <v>0</v>
      </c>
      <c r="G35" s="3"/>
      <c r="H35" s="3">
        <v>0</v>
      </c>
      <c r="I35" s="3"/>
      <c r="J35" s="3">
        <v>0</v>
      </c>
      <c r="K35" s="3"/>
      <c r="L35" s="3">
        <v>0</v>
      </c>
      <c r="M35" s="3"/>
      <c r="N35" s="3">
        <v>0</v>
      </c>
      <c r="O35" s="3"/>
      <c r="P35" s="3">
        <v>0</v>
      </c>
      <c r="Q35" s="3"/>
      <c r="R35" s="3">
        <v>0</v>
      </c>
      <c r="S35" s="3"/>
      <c r="T35" s="3">
        <v>0</v>
      </c>
      <c r="U35" s="3"/>
      <c r="V35" s="3">
        <v>0</v>
      </c>
      <c r="W35" s="3"/>
      <c r="X35" s="3">
        <v>4.1761589999999993</v>
      </c>
      <c r="Y35" s="3"/>
      <c r="Z35" s="3">
        <v>4.522113</v>
      </c>
      <c r="AA35" s="3"/>
      <c r="AB35" s="3">
        <v>21.523281000000001</v>
      </c>
      <c r="AC35" s="3"/>
      <c r="AD35" s="3">
        <v>40.402484999999999</v>
      </c>
      <c r="AE35" s="3"/>
      <c r="AF35" s="3">
        <v>54.364199999999997</v>
      </c>
      <c r="AG35" s="3"/>
      <c r="AH35" s="3">
        <v>17.198855999999999</v>
      </c>
      <c r="AI35" s="3"/>
      <c r="AJ35" s="3">
        <v>0</v>
      </c>
      <c r="AK35" s="3"/>
      <c r="AL35" s="9">
        <v>26.539614</v>
      </c>
      <c r="AM35" s="9" t="s">
        <v>108</v>
      </c>
      <c r="AN35" s="3">
        <v>35.608550999999999</v>
      </c>
      <c r="AO35" s="3"/>
      <c r="AP35" s="3">
        <v>13.615760999999999</v>
      </c>
      <c r="AQ35" s="3"/>
      <c r="AR35" s="3">
        <v>46.086014999999996</v>
      </c>
      <c r="AS35" s="3"/>
      <c r="AT35" s="3">
        <v>10.180932</v>
      </c>
      <c r="AU35" s="3"/>
      <c r="AV35" s="3">
        <v>0</v>
      </c>
      <c r="AW35" s="3"/>
      <c r="AX35" s="3">
        <v>8.0063639999999996</v>
      </c>
      <c r="AY35" s="3"/>
      <c r="AZ35" s="3">
        <v>0</v>
      </c>
      <c r="BA35" s="3"/>
      <c r="BB35" s="3">
        <v>0</v>
      </c>
      <c r="BC35" s="3"/>
      <c r="BD35" s="3">
        <v>0</v>
      </c>
      <c r="BE35" s="3"/>
      <c r="BF35" s="3">
        <v>0</v>
      </c>
      <c r="BG35" s="3"/>
      <c r="BH35" s="3">
        <v>4.2008699999999992</v>
      </c>
      <c r="BI35" s="3"/>
      <c r="BJ35" s="3">
        <v>0</v>
      </c>
      <c r="BK35" s="3"/>
      <c r="BL35" s="3">
        <v>6.1530390000000006</v>
      </c>
      <c r="BM35" s="3"/>
      <c r="BN35" s="3">
        <v>9.9338219999999975</v>
      </c>
      <c r="BO35" s="3"/>
      <c r="BP35" s="4">
        <v>14.851310999999999</v>
      </c>
      <c r="BQ35" s="4"/>
      <c r="BR35" s="4">
        <v>0</v>
      </c>
      <c r="BS35" s="4"/>
      <c r="BT35" s="3">
        <v>0</v>
      </c>
      <c r="BV35">
        <v>18.014319</v>
      </c>
      <c r="BX35">
        <v>4.250292</v>
      </c>
      <c r="BZ35">
        <v>0</v>
      </c>
      <c r="CB35">
        <v>0.37066499999999997</v>
      </c>
      <c r="CD35" s="35">
        <v>1.2849459999999999</v>
      </c>
      <c r="CE35" s="35"/>
      <c r="CF35" s="35">
        <v>0.29652600000000001</v>
      </c>
      <c r="CH35" s="24">
        <f>(CF35-CD35)/CD35</f>
        <v>-0.76923076923076916</v>
      </c>
      <c r="CI35" s="3">
        <f>CF35-CD35</f>
        <v>-0.98841999999999985</v>
      </c>
      <c r="CJ35" s="24">
        <f>CF35/CK35</f>
        <v>6.1905219206680585E-4</v>
      </c>
      <c r="CK35" s="38">
        <v>479</v>
      </c>
      <c r="CL35" t="s">
        <v>203</v>
      </c>
    </row>
    <row r="36" spans="1:90" x14ac:dyDescent="0.25">
      <c r="A36" t="s">
        <v>59</v>
      </c>
      <c r="B36" t="s">
        <v>60</v>
      </c>
      <c r="C36" t="s">
        <v>189</v>
      </c>
      <c r="D36" t="str">
        <f>CONCATENATE(B36, " ", C36)</f>
        <v>Rhode River (Mesohaline)</v>
      </c>
      <c r="E36">
        <v>27</v>
      </c>
      <c r="F36" s="3">
        <v>0</v>
      </c>
      <c r="G36" s="3"/>
      <c r="H36" s="3">
        <v>0</v>
      </c>
      <c r="I36" s="3"/>
      <c r="J36" s="3">
        <v>0</v>
      </c>
      <c r="K36" s="3"/>
      <c r="L36" s="3">
        <v>0</v>
      </c>
      <c r="M36" s="3"/>
      <c r="N36" s="3">
        <v>0</v>
      </c>
      <c r="O36" s="3"/>
      <c r="P36" s="3">
        <v>0</v>
      </c>
      <c r="Q36" s="3"/>
      <c r="R36" s="3">
        <v>0</v>
      </c>
      <c r="S36" s="3"/>
      <c r="T36" s="3">
        <v>0</v>
      </c>
      <c r="U36" s="3"/>
      <c r="V36" s="3">
        <v>0</v>
      </c>
      <c r="W36" s="3"/>
      <c r="X36" s="3">
        <v>0</v>
      </c>
      <c r="Y36" s="3"/>
      <c r="Z36" s="3">
        <v>0</v>
      </c>
      <c r="AA36" s="3"/>
      <c r="AB36" s="3">
        <v>0</v>
      </c>
      <c r="AC36" s="3"/>
      <c r="AD36" s="3">
        <v>0</v>
      </c>
      <c r="AE36" s="3"/>
      <c r="AF36" s="3">
        <v>0</v>
      </c>
      <c r="AG36" s="3"/>
      <c r="AH36" s="3">
        <v>0</v>
      </c>
      <c r="AI36" s="3"/>
      <c r="AJ36" s="3">
        <v>0</v>
      </c>
      <c r="AK36" s="3"/>
      <c r="AL36" s="3">
        <v>0</v>
      </c>
      <c r="AM36" s="3"/>
      <c r="AN36" s="3">
        <v>0</v>
      </c>
      <c r="AO36" s="3"/>
      <c r="AP36" s="3">
        <v>0</v>
      </c>
      <c r="AQ36" s="3"/>
      <c r="AR36" s="3">
        <v>0</v>
      </c>
      <c r="AS36" s="3"/>
      <c r="AT36" s="3">
        <v>0</v>
      </c>
      <c r="AU36" s="3"/>
      <c r="AV36" s="3">
        <v>0</v>
      </c>
      <c r="AW36" s="3"/>
      <c r="AX36" s="3">
        <v>0</v>
      </c>
      <c r="AY36" s="3"/>
      <c r="AZ36" s="3">
        <v>0</v>
      </c>
      <c r="BA36" s="3"/>
      <c r="BB36" s="3">
        <v>0</v>
      </c>
      <c r="BC36" s="3"/>
      <c r="BD36" s="3">
        <v>0</v>
      </c>
      <c r="BE36" s="3"/>
      <c r="BF36" s="3">
        <v>0</v>
      </c>
      <c r="BG36" s="3"/>
      <c r="BH36" s="3">
        <v>0</v>
      </c>
      <c r="BI36" s="3"/>
      <c r="BJ36" s="3">
        <v>0</v>
      </c>
      <c r="BK36" s="3"/>
      <c r="BL36" s="3">
        <v>0</v>
      </c>
      <c r="BM36" s="3"/>
      <c r="BN36" s="3">
        <v>0</v>
      </c>
      <c r="BO36" s="3"/>
      <c r="BP36" s="4">
        <v>0</v>
      </c>
      <c r="BQ36" s="4"/>
      <c r="BR36" s="4">
        <v>0</v>
      </c>
      <c r="BS36" s="4"/>
      <c r="BT36" s="3">
        <v>0.96372899999999995</v>
      </c>
      <c r="BV36">
        <v>2.4710999999999999</v>
      </c>
      <c r="BX36">
        <v>0</v>
      </c>
      <c r="BZ36">
        <v>0</v>
      </c>
      <c r="CB36">
        <v>0</v>
      </c>
      <c r="CD36" s="35">
        <v>0</v>
      </c>
      <c r="CE36" s="35"/>
      <c r="CF36" s="35">
        <v>0</v>
      </c>
      <c r="CH36" s="24">
        <v>0</v>
      </c>
      <c r="CI36" s="3">
        <f>CF36-CD36</f>
        <v>0</v>
      </c>
      <c r="CJ36" s="24">
        <f>CF36/CK36</f>
        <v>0</v>
      </c>
      <c r="CK36" s="38">
        <v>60</v>
      </c>
    </row>
    <row r="37" spans="1:90" x14ac:dyDescent="0.25">
      <c r="A37" t="s">
        <v>61</v>
      </c>
      <c r="B37" t="s">
        <v>62</v>
      </c>
      <c r="C37" t="s">
        <v>189</v>
      </c>
      <c r="D37" t="str">
        <f>CONCATENATE(B37, " ", C37)</f>
        <v>West River (Mesohaline)</v>
      </c>
      <c r="E37">
        <v>28</v>
      </c>
      <c r="F37" s="3">
        <v>0</v>
      </c>
      <c r="G37" s="3"/>
      <c r="H37" s="3">
        <v>5.4117089999999992</v>
      </c>
      <c r="I37" s="3"/>
      <c r="J37" s="3">
        <v>1.0131509999999999</v>
      </c>
      <c r="K37" s="3"/>
      <c r="L37" s="3">
        <v>0</v>
      </c>
      <c r="M37" s="3"/>
      <c r="N37" s="3">
        <v>0</v>
      </c>
      <c r="O37" s="3"/>
      <c r="P37" s="3">
        <v>0</v>
      </c>
      <c r="Q37" s="3"/>
      <c r="R37" s="3">
        <v>0</v>
      </c>
      <c r="S37" s="3"/>
      <c r="T37" s="3">
        <v>0</v>
      </c>
      <c r="U37" s="3"/>
      <c r="V37" s="3">
        <v>0</v>
      </c>
      <c r="W37" s="3"/>
      <c r="X37" s="3">
        <v>11.564747999999998</v>
      </c>
      <c r="Y37" s="3"/>
      <c r="Z37" s="3">
        <v>0</v>
      </c>
      <c r="AA37" s="3"/>
      <c r="AB37" s="3">
        <v>0</v>
      </c>
      <c r="AC37" s="3"/>
      <c r="AD37" s="3">
        <v>0</v>
      </c>
      <c r="AE37" s="3"/>
      <c r="AF37" s="3">
        <v>7.9322309999999998</v>
      </c>
      <c r="AG37" s="3"/>
      <c r="AH37" s="3">
        <v>0</v>
      </c>
      <c r="AI37" s="3"/>
      <c r="AJ37" s="3">
        <v>0</v>
      </c>
      <c r="AK37" s="3"/>
      <c r="AL37" s="3">
        <v>0</v>
      </c>
      <c r="AM37" s="3"/>
      <c r="AN37" s="3">
        <v>0</v>
      </c>
      <c r="AO37" s="3"/>
      <c r="AP37" s="3">
        <v>23.030652</v>
      </c>
      <c r="AQ37" s="3"/>
      <c r="AR37" s="3">
        <v>0</v>
      </c>
      <c r="AS37" s="3"/>
      <c r="AT37" s="3">
        <v>0</v>
      </c>
      <c r="AU37" s="3"/>
      <c r="AV37" s="3">
        <v>0</v>
      </c>
      <c r="AW37" s="3"/>
      <c r="AX37" s="3">
        <v>0</v>
      </c>
      <c r="AY37" s="3"/>
      <c r="AZ37" s="3">
        <v>0</v>
      </c>
      <c r="BA37" s="3"/>
      <c r="BB37" s="3">
        <v>0</v>
      </c>
      <c r="BC37" s="3"/>
      <c r="BD37" s="3">
        <v>0</v>
      </c>
      <c r="BE37" s="3"/>
      <c r="BF37" s="3">
        <v>0</v>
      </c>
      <c r="BG37" s="3"/>
      <c r="BH37" s="3">
        <v>0</v>
      </c>
      <c r="BI37" s="3"/>
      <c r="BJ37" s="3">
        <v>0</v>
      </c>
      <c r="BK37" s="3"/>
      <c r="BL37" s="3">
        <v>0</v>
      </c>
      <c r="BM37" s="3"/>
      <c r="BN37" s="3">
        <v>0</v>
      </c>
      <c r="BO37" s="3"/>
      <c r="BP37" s="4">
        <v>7.5368549999999992</v>
      </c>
      <c r="BQ37" s="4"/>
      <c r="BR37" s="4">
        <v>0</v>
      </c>
      <c r="BS37" s="4"/>
      <c r="BT37" s="3">
        <v>0</v>
      </c>
      <c r="BV37">
        <v>0</v>
      </c>
      <c r="BX37">
        <v>0</v>
      </c>
      <c r="BZ37">
        <v>0</v>
      </c>
      <c r="CB37">
        <v>0</v>
      </c>
      <c r="CD37" s="35">
        <v>0</v>
      </c>
      <c r="CE37" s="35"/>
      <c r="CF37" s="35">
        <v>0</v>
      </c>
      <c r="CH37" s="24">
        <v>0</v>
      </c>
      <c r="CI37" s="3">
        <f>CF37-CD37</f>
        <v>0</v>
      </c>
      <c r="CJ37" s="24">
        <f>CF37/CK37</f>
        <v>0</v>
      </c>
      <c r="CK37" s="38">
        <v>238</v>
      </c>
    </row>
    <row r="38" spans="1:90" x14ac:dyDescent="0.25">
      <c r="A38" t="s">
        <v>111</v>
      </c>
      <c r="B38" t="s">
        <v>112</v>
      </c>
      <c r="C38" t="s">
        <v>189</v>
      </c>
      <c r="D38" t="str">
        <f>CONCATENATE(B38, " ", C38)</f>
        <v>Lower Central Chesapeake Bay (Mesohaline)</v>
      </c>
      <c r="E38">
        <v>29</v>
      </c>
      <c r="F38" s="5">
        <v>13.368651</v>
      </c>
      <c r="G38" s="5" t="s">
        <v>108</v>
      </c>
      <c r="H38" s="3">
        <v>934.12522199999989</v>
      </c>
      <c r="I38" s="3"/>
      <c r="J38" s="3">
        <v>600.50201099999992</v>
      </c>
      <c r="K38" s="3"/>
      <c r="L38" s="3">
        <v>1324.4848889999998</v>
      </c>
      <c r="M38" s="3"/>
      <c r="N38" s="3">
        <v>1352.2353419999999</v>
      </c>
      <c r="O38" s="3"/>
      <c r="P38" s="3">
        <v>1632.779325</v>
      </c>
      <c r="Q38" s="3"/>
      <c r="R38" s="3">
        <v>580.31312400000002</v>
      </c>
      <c r="S38" s="3"/>
      <c r="T38" s="3">
        <v>2195.2758180000001</v>
      </c>
      <c r="U38" s="3"/>
      <c r="V38" s="3">
        <v>1132.3815749999999</v>
      </c>
      <c r="W38" s="3"/>
      <c r="X38" s="3">
        <v>25.773572999999999</v>
      </c>
      <c r="Y38" s="3"/>
      <c r="Z38" s="3">
        <v>0</v>
      </c>
      <c r="AA38" s="3"/>
      <c r="AB38" s="3">
        <v>3.780783</v>
      </c>
      <c r="AC38" s="3"/>
      <c r="AD38" s="3">
        <v>170.38234499999999</v>
      </c>
      <c r="AE38" s="3"/>
      <c r="AF38" s="3">
        <v>4.9916219999999996</v>
      </c>
      <c r="AG38" s="3"/>
      <c r="AH38" s="3">
        <v>656.84309099999996</v>
      </c>
      <c r="AI38" s="3"/>
      <c r="AJ38" s="3">
        <v>1377.7123829999998</v>
      </c>
      <c r="AK38" s="3"/>
      <c r="AL38" s="3">
        <v>2156.701947</v>
      </c>
      <c r="AM38" s="3"/>
      <c r="AN38" s="3">
        <v>2136.9331469999997</v>
      </c>
      <c r="AO38" s="3"/>
      <c r="AP38" s="3">
        <v>699.27187800000002</v>
      </c>
      <c r="AQ38" s="3"/>
      <c r="AR38" s="3">
        <v>397.35288000000003</v>
      </c>
      <c r="AS38" s="3"/>
      <c r="AT38" s="3">
        <v>919.12564499999996</v>
      </c>
      <c r="AU38" s="3"/>
      <c r="AV38" s="3">
        <v>573.19635600000004</v>
      </c>
      <c r="AW38" s="3"/>
      <c r="AX38" s="3">
        <v>503.98084499999993</v>
      </c>
      <c r="AY38" s="3"/>
      <c r="AZ38" s="3">
        <v>1133.9877899999999</v>
      </c>
      <c r="BA38" s="3"/>
      <c r="BB38" s="3">
        <v>2280.0345479999996</v>
      </c>
      <c r="BC38" s="3"/>
      <c r="BD38" s="3">
        <v>432.07183499999996</v>
      </c>
      <c r="BE38" s="3"/>
      <c r="BF38" s="3">
        <v>701.29818</v>
      </c>
      <c r="BG38" s="3"/>
      <c r="BH38" s="3">
        <v>525.70181400000001</v>
      </c>
      <c r="BI38" s="3"/>
      <c r="BJ38" s="3">
        <v>807.70374600000002</v>
      </c>
      <c r="BK38" s="3"/>
      <c r="BL38" s="3">
        <v>2082.0747270000002</v>
      </c>
      <c r="BM38" s="3"/>
      <c r="BN38" s="3">
        <v>2135.0551109999997</v>
      </c>
      <c r="BO38" s="3"/>
      <c r="BP38" s="4">
        <v>2806.8483569999994</v>
      </c>
      <c r="BQ38" s="4"/>
      <c r="BR38" s="4">
        <v>3045.8778599999996</v>
      </c>
      <c r="BS38" s="4"/>
      <c r="BT38" s="3">
        <v>2668.9856879999998</v>
      </c>
      <c r="BV38">
        <v>901.87736700000005</v>
      </c>
      <c r="BX38">
        <v>829.44942600000002</v>
      </c>
      <c r="BZ38">
        <v>1209.4304729999999</v>
      </c>
      <c r="CB38">
        <v>1346.428257</v>
      </c>
      <c r="CD38" s="35">
        <v>1405.1625824999999</v>
      </c>
      <c r="CE38" s="35"/>
      <c r="CF38" s="35">
        <v>1326.3360875000001</v>
      </c>
      <c r="CH38" s="24">
        <f>(CF38-CD38)/CD38</f>
        <v>-5.6097775433043034E-2</v>
      </c>
      <c r="CI38" s="3">
        <f>CF38-CD38</f>
        <v>-78.826494999999795</v>
      </c>
      <c r="CJ38" s="24">
        <f>CF38/CK38</f>
        <v>0.16037921251511489</v>
      </c>
      <c r="CK38" s="38">
        <v>8270</v>
      </c>
      <c r="CL38" t="s">
        <v>197</v>
      </c>
    </row>
    <row r="39" spans="1:90" x14ac:dyDescent="0.25">
      <c r="A39" t="s">
        <v>63</v>
      </c>
      <c r="B39" t="s">
        <v>64</v>
      </c>
      <c r="C39" t="s">
        <v>189</v>
      </c>
      <c r="D39" t="str">
        <f>CONCATENATE(B39, " ", C39)</f>
        <v>Honga River (Mesohaline)</v>
      </c>
      <c r="E39">
        <v>30</v>
      </c>
      <c r="F39" s="3">
        <v>33.162161999999995</v>
      </c>
      <c r="G39" s="3"/>
      <c r="H39" s="3">
        <v>783.85763099999986</v>
      </c>
      <c r="I39" s="3"/>
      <c r="J39" s="3">
        <v>636.01171799999997</v>
      </c>
      <c r="K39" s="3"/>
      <c r="L39" s="3">
        <v>1585.8531359999999</v>
      </c>
      <c r="M39" s="3"/>
      <c r="N39" s="3">
        <v>2466.6025979999999</v>
      </c>
      <c r="O39" s="3"/>
      <c r="P39" s="3">
        <v>2885.9976900000001</v>
      </c>
      <c r="Q39" s="3"/>
      <c r="R39" s="3">
        <v>3329.6836949999997</v>
      </c>
      <c r="S39" s="3"/>
      <c r="T39" s="3">
        <v>3792.0265049999998</v>
      </c>
      <c r="U39" s="3"/>
      <c r="V39" s="3">
        <v>4560.2667839999995</v>
      </c>
      <c r="W39" s="3"/>
      <c r="X39" s="3">
        <v>3438.3626730000001</v>
      </c>
      <c r="Y39" s="3"/>
      <c r="Z39" s="3">
        <v>2213.290137</v>
      </c>
      <c r="AA39" s="3"/>
      <c r="AB39" s="3">
        <v>1539.4952999999998</v>
      </c>
      <c r="AC39" s="3"/>
      <c r="AD39" s="3">
        <v>2200.5392609999999</v>
      </c>
      <c r="AE39" s="3"/>
      <c r="AF39" s="3">
        <v>781.78190699999993</v>
      </c>
      <c r="AG39" s="3"/>
      <c r="AH39" s="3">
        <v>1913.8422389999998</v>
      </c>
      <c r="AI39" s="3"/>
      <c r="AJ39" s="3">
        <v>2824.9368089999998</v>
      </c>
      <c r="AK39" s="3"/>
      <c r="AL39" s="3">
        <v>4949.2426349999996</v>
      </c>
      <c r="AM39" s="3"/>
      <c r="AN39" s="3">
        <v>6322.8529919999992</v>
      </c>
      <c r="AO39" s="3"/>
      <c r="AP39" s="3">
        <v>2842.6298849999998</v>
      </c>
      <c r="AQ39" s="3"/>
      <c r="AR39" s="3">
        <v>3431.023506</v>
      </c>
      <c r="AS39" s="3"/>
      <c r="AT39" s="3">
        <v>4376.3180999999995</v>
      </c>
      <c r="AU39" s="3"/>
      <c r="AV39" s="3">
        <v>2094.7267590000001</v>
      </c>
      <c r="AW39" s="3"/>
      <c r="AX39" s="3">
        <v>1992.7444619999999</v>
      </c>
      <c r="AY39" s="3"/>
      <c r="AZ39" s="3">
        <v>3964.6822619999998</v>
      </c>
      <c r="BA39" s="3"/>
      <c r="BB39" s="3">
        <v>4922.1346679999997</v>
      </c>
      <c r="BC39" s="3"/>
      <c r="BD39" s="3">
        <v>2174.81511</v>
      </c>
      <c r="BE39" s="3"/>
      <c r="BF39" s="3">
        <v>2592.5298539999999</v>
      </c>
      <c r="BG39" s="3"/>
      <c r="BH39" s="3">
        <v>2403.8613689999997</v>
      </c>
      <c r="BI39" s="3"/>
      <c r="BJ39" s="3">
        <v>2953.6811189999999</v>
      </c>
      <c r="BK39" s="3"/>
      <c r="BL39" s="3">
        <v>5214.4410870000002</v>
      </c>
      <c r="BM39" s="3"/>
      <c r="BN39" s="3">
        <v>6216.8675129999992</v>
      </c>
      <c r="BO39" s="3"/>
      <c r="BP39" s="4">
        <v>7857.0107159999998</v>
      </c>
      <c r="BQ39" s="4"/>
      <c r="BR39" s="4">
        <v>7665.5993099999996</v>
      </c>
      <c r="BS39" s="4"/>
      <c r="BT39" s="3">
        <v>6240.7383389999995</v>
      </c>
      <c r="BU39" t="s">
        <v>108</v>
      </c>
      <c r="BV39">
        <v>2567.9918309999998</v>
      </c>
      <c r="BX39">
        <v>2335.3871880000002</v>
      </c>
      <c r="BZ39">
        <v>2800.3246529999997</v>
      </c>
      <c r="CB39">
        <v>3039.4035779999999</v>
      </c>
      <c r="CD39" s="35">
        <v>3976.759607</v>
      </c>
      <c r="CE39" s="35"/>
      <c r="CF39" s="35">
        <v>4355.6704140000002</v>
      </c>
      <c r="CH39" s="24">
        <f>(CF39-CD39)/CD39</f>
        <v>9.5281295437881414E-2</v>
      </c>
      <c r="CI39" s="3">
        <f>CF39-CD39</f>
        <v>378.9108070000002</v>
      </c>
      <c r="CJ39" s="24">
        <f>CF39/CK39</f>
        <v>0.56122541090065714</v>
      </c>
      <c r="CK39" s="38">
        <v>7761</v>
      </c>
      <c r="CL39" s="10" t="s">
        <v>208</v>
      </c>
    </row>
    <row r="40" spans="1:90" x14ac:dyDescent="0.25">
      <c r="A40" t="s">
        <v>65</v>
      </c>
      <c r="B40" t="s">
        <v>66</v>
      </c>
      <c r="C40" t="s">
        <v>189</v>
      </c>
      <c r="D40" t="str">
        <f>CONCATENATE(B40, " ", C40)</f>
        <v>Fishing Bay (Mesohaline)</v>
      </c>
      <c r="E40">
        <v>31</v>
      </c>
      <c r="F40" s="3">
        <v>0</v>
      </c>
      <c r="G40" s="3"/>
      <c r="H40" s="3">
        <v>0</v>
      </c>
      <c r="I40" s="3"/>
      <c r="J40" s="3">
        <v>0.197688</v>
      </c>
      <c r="K40" s="3"/>
      <c r="L40" s="3">
        <v>5.0410439999999994</v>
      </c>
      <c r="M40" s="3"/>
      <c r="N40" s="3">
        <v>21.869234999999996</v>
      </c>
      <c r="O40" s="3"/>
      <c r="P40" s="3">
        <v>13.368651</v>
      </c>
      <c r="Q40" s="3"/>
      <c r="R40" s="3">
        <v>1.4826599999999999</v>
      </c>
      <c r="S40" s="3"/>
      <c r="T40" s="3">
        <v>33.656381999999994</v>
      </c>
      <c r="U40" s="3"/>
      <c r="V40" s="3">
        <v>38.722136999999996</v>
      </c>
      <c r="W40" s="3"/>
      <c r="X40" s="3">
        <v>63.952067999999997</v>
      </c>
      <c r="Y40" s="3"/>
      <c r="Z40" s="3">
        <v>26.762013</v>
      </c>
      <c r="AA40" s="3"/>
      <c r="AB40" s="3">
        <v>0</v>
      </c>
      <c r="AC40" s="3"/>
      <c r="AD40" s="3">
        <v>0</v>
      </c>
      <c r="AE40" s="3"/>
      <c r="AF40" s="3">
        <v>0</v>
      </c>
      <c r="AG40" s="3"/>
      <c r="AH40" s="3">
        <v>4.9916219999999996</v>
      </c>
      <c r="AI40" s="3"/>
      <c r="AJ40" s="3">
        <v>6.3260160000000001</v>
      </c>
      <c r="AK40" s="3"/>
      <c r="AL40" s="3">
        <v>5.5352640000000006</v>
      </c>
      <c r="AM40" s="3"/>
      <c r="AN40" s="3">
        <v>108.802533</v>
      </c>
      <c r="AO40" s="3"/>
      <c r="AP40" s="3">
        <v>15.073709999999998</v>
      </c>
      <c r="AQ40" s="3"/>
      <c r="AR40" s="3">
        <v>16.704635999999997</v>
      </c>
      <c r="AS40" s="3"/>
      <c r="AT40" s="3">
        <v>6.5978369999999993</v>
      </c>
      <c r="AU40" s="3"/>
      <c r="AV40" s="3">
        <v>12.997985999999999</v>
      </c>
      <c r="AW40" s="3"/>
      <c r="AX40" s="3">
        <v>0</v>
      </c>
      <c r="AY40" s="3"/>
      <c r="AZ40" s="3">
        <v>22.165766999999999</v>
      </c>
      <c r="BA40" s="3"/>
      <c r="BB40" s="3">
        <v>147.203427</v>
      </c>
      <c r="BC40" s="3"/>
      <c r="BD40" s="3">
        <v>138.48044399999998</v>
      </c>
      <c r="BE40" s="3"/>
      <c r="BF40" s="3">
        <v>156.44534099999998</v>
      </c>
      <c r="BG40" s="3"/>
      <c r="BH40" s="3">
        <v>64.619264999999999</v>
      </c>
      <c r="BI40" s="3"/>
      <c r="BJ40" s="3">
        <v>122.71482599999999</v>
      </c>
      <c r="BK40" s="3"/>
      <c r="BL40" s="3">
        <v>191.040741</v>
      </c>
      <c r="BM40" s="3"/>
      <c r="BN40" s="3">
        <v>284.17649999999998</v>
      </c>
      <c r="BO40" s="3"/>
      <c r="BP40" s="4">
        <v>311.13620099999997</v>
      </c>
      <c r="BQ40" s="4"/>
      <c r="BR40" s="4">
        <v>366.340575</v>
      </c>
      <c r="BS40" s="4"/>
      <c r="BT40" s="3">
        <v>218.49466200000001</v>
      </c>
      <c r="BV40">
        <v>12.701453999999998</v>
      </c>
      <c r="BX40">
        <v>71.958432000000002</v>
      </c>
      <c r="BZ40">
        <v>156.64302899999998</v>
      </c>
      <c r="CB40">
        <v>103.02015899999999</v>
      </c>
      <c r="CD40" s="35">
        <v>271.17302699999999</v>
      </c>
      <c r="CE40" s="35"/>
      <c r="CF40" s="35">
        <v>45.714424999999999</v>
      </c>
      <c r="CH40" s="24">
        <f>(CF40-CD40)/CD40</f>
        <v>-0.83141971933661374</v>
      </c>
      <c r="CI40" s="3">
        <f>CF40-CD40</f>
        <v>-225.45860199999998</v>
      </c>
      <c r="CJ40" s="24">
        <f>CF40/CK40</f>
        <v>0.23205291878172588</v>
      </c>
      <c r="CK40" s="38">
        <v>197</v>
      </c>
      <c r="CL40" s="22"/>
    </row>
    <row r="41" spans="1:90" x14ac:dyDescent="0.25">
      <c r="A41" t="s">
        <v>67</v>
      </c>
      <c r="B41" t="s">
        <v>68</v>
      </c>
      <c r="C41" t="s">
        <v>189</v>
      </c>
      <c r="D41" t="str">
        <f>CONCATENATE(B41, " ", C41)</f>
        <v>Lower Nanticoke River (Mesohaline)</v>
      </c>
      <c r="E41">
        <v>32</v>
      </c>
      <c r="F41" s="3">
        <v>0</v>
      </c>
      <c r="G41" s="3"/>
      <c r="H41" s="3">
        <v>0</v>
      </c>
      <c r="I41" s="3"/>
      <c r="J41" s="3">
        <v>0</v>
      </c>
      <c r="K41" s="3"/>
      <c r="L41" s="3">
        <v>0</v>
      </c>
      <c r="M41" s="3"/>
      <c r="N41" s="3">
        <v>0</v>
      </c>
      <c r="O41" s="3"/>
      <c r="P41" s="3">
        <v>0</v>
      </c>
      <c r="Q41" s="3"/>
      <c r="R41" s="3">
        <v>0</v>
      </c>
      <c r="S41" s="3"/>
      <c r="T41" s="3">
        <v>0</v>
      </c>
      <c r="U41" s="3"/>
      <c r="V41" s="3">
        <v>0</v>
      </c>
      <c r="W41" s="3"/>
      <c r="X41" s="3">
        <v>0</v>
      </c>
      <c r="Y41" s="3"/>
      <c r="Z41" s="3">
        <v>0</v>
      </c>
      <c r="AA41" s="3"/>
      <c r="AB41" s="3">
        <v>0</v>
      </c>
      <c r="AC41" s="3"/>
      <c r="AD41" s="3">
        <v>0</v>
      </c>
      <c r="AE41" s="3"/>
      <c r="AF41" s="3">
        <v>0</v>
      </c>
      <c r="AG41" s="3"/>
      <c r="AH41" s="3">
        <v>0</v>
      </c>
      <c r="AI41" s="3"/>
      <c r="AJ41" s="3">
        <v>0</v>
      </c>
      <c r="AK41" s="3"/>
      <c r="AL41" s="3">
        <v>0</v>
      </c>
      <c r="AM41" s="3"/>
      <c r="AN41" s="3">
        <v>0</v>
      </c>
      <c r="AO41" s="3"/>
      <c r="AP41" s="3">
        <v>0</v>
      </c>
      <c r="AQ41" s="3"/>
      <c r="AR41" s="3">
        <v>0</v>
      </c>
      <c r="AS41" s="3"/>
      <c r="AT41" s="3">
        <v>0</v>
      </c>
      <c r="AU41" s="3"/>
      <c r="AV41" s="3">
        <v>0</v>
      </c>
      <c r="AW41" s="3"/>
      <c r="AX41" s="3">
        <v>0</v>
      </c>
      <c r="AY41" s="3"/>
      <c r="AZ41" s="3">
        <v>0</v>
      </c>
      <c r="BA41" s="3"/>
      <c r="BB41" s="3">
        <v>0</v>
      </c>
      <c r="BC41" s="3"/>
      <c r="BD41" s="3">
        <v>0</v>
      </c>
      <c r="BE41" s="3"/>
      <c r="BF41" s="3">
        <v>0</v>
      </c>
      <c r="BG41" s="3"/>
      <c r="BH41" s="3">
        <v>0</v>
      </c>
      <c r="BI41" s="3"/>
      <c r="BJ41" s="3">
        <v>0</v>
      </c>
      <c r="BK41" s="3"/>
      <c r="BL41" s="3">
        <v>0</v>
      </c>
      <c r="BM41" s="3"/>
      <c r="BN41" s="3">
        <v>0</v>
      </c>
      <c r="BO41" s="3"/>
      <c r="BP41" s="4">
        <v>0</v>
      </c>
      <c r="BQ41" s="4"/>
      <c r="BR41" s="4">
        <v>0.39537600000000001</v>
      </c>
      <c r="BS41" s="4"/>
      <c r="BT41" s="3">
        <v>0</v>
      </c>
      <c r="BV41">
        <v>0</v>
      </c>
      <c r="BX41">
        <v>0</v>
      </c>
      <c r="BZ41">
        <v>0</v>
      </c>
      <c r="CB41">
        <v>0</v>
      </c>
      <c r="CD41" s="35">
        <v>0</v>
      </c>
      <c r="CE41" s="35"/>
      <c r="CF41" s="35">
        <v>0</v>
      </c>
      <c r="CH41" s="24">
        <v>0</v>
      </c>
      <c r="CI41" s="3">
        <f>CF41-CD41</f>
        <v>0</v>
      </c>
      <c r="CJ41" s="24">
        <f>CF41/CK41</f>
        <v>0</v>
      </c>
      <c r="CK41" s="38">
        <v>3</v>
      </c>
    </row>
    <row r="42" spans="1:90" x14ac:dyDescent="0.25">
      <c r="A42" t="s">
        <v>69</v>
      </c>
      <c r="B42" t="s">
        <v>70</v>
      </c>
      <c r="C42" t="s">
        <v>188</v>
      </c>
      <c r="D42" t="str">
        <f>CONCATENATE(B42, " ", C42)</f>
        <v>Middle Nanticoke River (Oligohaline)</v>
      </c>
      <c r="E42">
        <v>33</v>
      </c>
      <c r="F42" s="3">
        <v>0</v>
      </c>
      <c r="G42" s="3"/>
      <c r="H42" s="3">
        <v>0</v>
      </c>
      <c r="I42" s="3"/>
      <c r="J42" s="3">
        <v>0</v>
      </c>
      <c r="K42" s="3"/>
      <c r="L42" s="3">
        <v>0</v>
      </c>
      <c r="M42" s="3"/>
      <c r="N42" s="3">
        <v>0</v>
      </c>
      <c r="O42" s="3"/>
      <c r="P42" s="3">
        <v>0</v>
      </c>
      <c r="Q42" s="3"/>
      <c r="R42" s="3">
        <v>0</v>
      </c>
      <c r="S42" s="3"/>
      <c r="T42" s="3">
        <v>0</v>
      </c>
      <c r="U42" s="3"/>
      <c r="V42" s="3">
        <v>0</v>
      </c>
      <c r="W42" s="3"/>
      <c r="X42" s="3">
        <v>0</v>
      </c>
      <c r="Y42" s="3"/>
      <c r="Z42" s="3">
        <v>0</v>
      </c>
      <c r="AA42" s="3"/>
      <c r="AB42" s="3">
        <v>0</v>
      </c>
      <c r="AC42" s="3"/>
      <c r="AD42" s="3">
        <v>0</v>
      </c>
      <c r="AE42" s="3"/>
      <c r="AF42" s="3">
        <v>0</v>
      </c>
      <c r="AG42" s="3"/>
      <c r="AH42" s="3">
        <v>0</v>
      </c>
      <c r="AI42" s="3"/>
      <c r="AJ42" s="3">
        <v>0</v>
      </c>
      <c r="AK42" s="3"/>
      <c r="AL42" s="3">
        <v>0</v>
      </c>
      <c r="AM42" s="3"/>
      <c r="AN42" s="3">
        <v>0</v>
      </c>
      <c r="AO42" s="3"/>
      <c r="AP42" s="3">
        <v>0</v>
      </c>
      <c r="AQ42" s="3"/>
      <c r="AR42" s="3">
        <v>0</v>
      </c>
      <c r="AS42" s="3"/>
      <c r="AT42" s="3">
        <v>0</v>
      </c>
      <c r="AU42" s="3"/>
      <c r="AV42" s="3">
        <v>0</v>
      </c>
      <c r="AW42" s="3"/>
      <c r="AX42" s="3">
        <v>0</v>
      </c>
      <c r="AY42" s="3"/>
      <c r="AZ42" s="3">
        <v>0</v>
      </c>
      <c r="BA42" s="3"/>
      <c r="BB42" s="3">
        <v>0</v>
      </c>
      <c r="BC42" s="3"/>
      <c r="BD42" s="3">
        <v>0</v>
      </c>
      <c r="BE42" s="3"/>
      <c r="BF42" s="3">
        <v>0</v>
      </c>
      <c r="BG42" s="3"/>
      <c r="BH42" s="3">
        <v>0</v>
      </c>
      <c r="BI42" s="3"/>
      <c r="BJ42" s="3">
        <v>0</v>
      </c>
      <c r="BK42" s="3"/>
      <c r="BL42" s="3">
        <v>0</v>
      </c>
      <c r="BM42" s="3"/>
      <c r="BN42" s="3">
        <v>0</v>
      </c>
      <c r="BO42" s="3"/>
      <c r="BP42" s="4">
        <v>0</v>
      </c>
      <c r="BQ42" s="4"/>
      <c r="BR42" s="4">
        <v>0</v>
      </c>
      <c r="BS42" s="4"/>
      <c r="BT42" s="3">
        <v>0</v>
      </c>
      <c r="BV42">
        <v>0</v>
      </c>
      <c r="BX42">
        <v>0</v>
      </c>
      <c r="BZ42">
        <v>0</v>
      </c>
      <c r="CB42">
        <v>0</v>
      </c>
      <c r="CD42" s="35">
        <v>0</v>
      </c>
      <c r="CE42" s="35"/>
      <c r="CF42" s="35">
        <v>0</v>
      </c>
      <c r="CH42" s="24">
        <v>0</v>
      </c>
      <c r="CI42" s="3">
        <f>CF42-CD42</f>
        <v>0</v>
      </c>
      <c r="CJ42" s="24">
        <f>CF42/CK42</f>
        <v>0</v>
      </c>
      <c r="CK42" s="38">
        <v>12</v>
      </c>
    </row>
    <row r="43" spans="1:90" x14ac:dyDescent="0.25">
      <c r="A43" t="s">
        <v>113</v>
      </c>
      <c r="B43" t="s">
        <v>114</v>
      </c>
      <c r="C43" t="s">
        <v>187</v>
      </c>
      <c r="D43" t="str">
        <f>CONCATENATE(B43, " ", C43)</f>
        <v>Upper Nanticoke River (Tidal Fresh)</v>
      </c>
      <c r="E43">
        <v>34</v>
      </c>
      <c r="F43" s="3">
        <v>0</v>
      </c>
      <c r="G43" s="3"/>
      <c r="H43" s="3">
        <v>0</v>
      </c>
      <c r="I43" s="3"/>
      <c r="J43" s="3">
        <v>0</v>
      </c>
      <c r="K43" s="3"/>
      <c r="L43" s="3">
        <v>0</v>
      </c>
      <c r="M43" s="3"/>
      <c r="N43" s="3">
        <v>0</v>
      </c>
      <c r="O43" s="3"/>
      <c r="P43" s="3">
        <v>0</v>
      </c>
      <c r="Q43" s="3"/>
      <c r="R43" s="3">
        <v>0</v>
      </c>
      <c r="S43" s="3"/>
      <c r="T43" s="3">
        <v>0</v>
      </c>
      <c r="U43" s="3"/>
      <c r="V43" s="3">
        <v>0</v>
      </c>
      <c r="W43" s="3"/>
      <c r="X43" s="3">
        <v>0</v>
      </c>
      <c r="Y43" s="3"/>
      <c r="Z43" s="3">
        <v>0</v>
      </c>
      <c r="AA43" s="3"/>
      <c r="AB43" s="3">
        <v>0</v>
      </c>
      <c r="AC43" s="3"/>
      <c r="AD43" s="3">
        <v>0</v>
      </c>
      <c r="AE43" s="3"/>
      <c r="AF43" s="3">
        <v>0</v>
      </c>
      <c r="AG43" s="3"/>
      <c r="AH43" s="3">
        <v>0</v>
      </c>
      <c r="AI43" s="3"/>
      <c r="AJ43" s="3">
        <v>0</v>
      </c>
      <c r="AK43" s="3"/>
      <c r="AL43" s="3">
        <v>0</v>
      </c>
      <c r="AM43" s="3"/>
      <c r="AN43" s="3">
        <v>0</v>
      </c>
      <c r="AO43" s="3"/>
      <c r="AP43" s="3">
        <v>0</v>
      </c>
      <c r="AQ43" s="3"/>
      <c r="AR43" s="3">
        <v>0</v>
      </c>
      <c r="AS43" s="3"/>
      <c r="AT43" s="3">
        <v>0</v>
      </c>
      <c r="AU43" s="3"/>
      <c r="AV43" s="3">
        <v>0</v>
      </c>
      <c r="AW43" s="3"/>
      <c r="AX43" s="3">
        <v>0</v>
      </c>
      <c r="AY43" s="3"/>
      <c r="AZ43" s="3">
        <v>0</v>
      </c>
      <c r="BA43" s="3"/>
      <c r="BB43" s="3">
        <v>0</v>
      </c>
      <c r="BC43" s="3"/>
      <c r="BD43" s="3">
        <v>0</v>
      </c>
      <c r="BE43" s="3"/>
      <c r="BF43" s="3">
        <v>0</v>
      </c>
      <c r="BG43" s="3"/>
      <c r="BH43" s="3">
        <v>0</v>
      </c>
      <c r="BI43" s="3"/>
      <c r="BJ43" s="3">
        <v>0</v>
      </c>
      <c r="BK43" s="3"/>
      <c r="BL43" s="3">
        <v>0</v>
      </c>
      <c r="BM43" s="3"/>
      <c r="BN43" s="3">
        <v>0</v>
      </c>
      <c r="BO43" s="3"/>
      <c r="BP43" s="4">
        <v>0</v>
      </c>
      <c r="BQ43" s="4"/>
      <c r="BR43" s="4">
        <v>0</v>
      </c>
      <c r="BS43" s="4"/>
      <c r="BT43" s="3">
        <v>0</v>
      </c>
      <c r="BV43">
        <v>0</v>
      </c>
      <c r="BX43">
        <v>0</v>
      </c>
      <c r="BZ43">
        <v>0</v>
      </c>
      <c r="CB43">
        <v>0</v>
      </c>
      <c r="CD43" s="35">
        <v>0</v>
      </c>
      <c r="CE43" s="35"/>
      <c r="CF43" s="35">
        <v>0</v>
      </c>
      <c r="CH43" s="24">
        <v>0</v>
      </c>
      <c r="CI43" s="3">
        <f>CF43-CD43</f>
        <v>0</v>
      </c>
      <c r="CK43" s="38" t="s">
        <v>166</v>
      </c>
    </row>
    <row r="44" spans="1:90" x14ac:dyDescent="0.25">
      <c r="A44" t="s">
        <v>71</v>
      </c>
      <c r="B44" t="s">
        <v>72</v>
      </c>
      <c r="C44" t="s">
        <v>189</v>
      </c>
      <c r="D44" t="str">
        <f>CONCATENATE(B44, " ", C44)</f>
        <v>Wicomico River (Mesohaline)</v>
      </c>
      <c r="E44">
        <v>35</v>
      </c>
      <c r="F44" s="3">
        <v>0</v>
      </c>
      <c r="G44" s="3"/>
      <c r="H44" s="3">
        <v>0</v>
      </c>
      <c r="I44" s="3"/>
      <c r="J44" s="3">
        <v>0</v>
      </c>
      <c r="K44" s="3"/>
      <c r="L44" s="3">
        <v>0</v>
      </c>
      <c r="M44" s="3"/>
      <c r="N44" s="3">
        <v>0</v>
      </c>
      <c r="O44" s="3"/>
      <c r="P44" s="3">
        <v>0</v>
      </c>
      <c r="Q44" s="3"/>
      <c r="R44" s="3">
        <v>0</v>
      </c>
      <c r="S44" s="3"/>
      <c r="T44" s="3">
        <v>0</v>
      </c>
      <c r="U44" s="3"/>
      <c r="V44" s="3">
        <v>0</v>
      </c>
      <c r="W44" s="3"/>
      <c r="X44" s="3">
        <v>0</v>
      </c>
      <c r="Y44" s="3"/>
      <c r="Z44" s="3">
        <v>0</v>
      </c>
      <c r="AA44" s="3"/>
      <c r="AB44" s="3">
        <v>0</v>
      </c>
      <c r="AC44" s="3"/>
      <c r="AD44" s="3">
        <v>0</v>
      </c>
      <c r="AE44" s="3"/>
      <c r="AF44" s="3">
        <v>0</v>
      </c>
      <c r="AG44" s="3"/>
      <c r="AH44" s="3">
        <v>0</v>
      </c>
      <c r="AI44" s="3"/>
      <c r="AJ44" s="3">
        <v>0</v>
      </c>
      <c r="AK44" s="3"/>
      <c r="AL44" s="3">
        <v>0</v>
      </c>
      <c r="AM44" s="3"/>
      <c r="AN44" s="3">
        <v>0</v>
      </c>
      <c r="AO44" s="3"/>
      <c r="AP44" s="3">
        <v>0</v>
      </c>
      <c r="AQ44" s="3"/>
      <c r="AR44" s="3">
        <v>0</v>
      </c>
      <c r="AS44" s="3"/>
      <c r="AT44" s="3">
        <v>0</v>
      </c>
      <c r="AU44" s="3"/>
      <c r="AV44" s="3">
        <v>0</v>
      </c>
      <c r="AW44" s="3"/>
      <c r="AX44" s="3">
        <v>0</v>
      </c>
      <c r="AY44" s="3"/>
      <c r="AZ44" s="3">
        <v>0</v>
      </c>
      <c r="BA44" s="3"/>
      <c r="BB44" s="3">
        <v>0</v>
      </c>
      <c r="BC44" s="3"/>
      <c r="BD44" s="3">
        <v>0</v>
      </c>
      <c r="BE44" s="3"/>
      <c r="BF44" s="3">
        <v>0</v>
      </c>
      <c r="BG44" s="3"/>
      <c r="BH44" s="3">
        <v>0</v>
      </c>
      <c r="BI44" s="3"/>
      <c r="BJ44" s="3">
        <v>0</v>
      </c>
      <c r="BK44" s="3"/>
      <c r="BL44" s="3">
        <v>0</v>
      </c>
      <c r="BM44" s="3"/>
      <c r="BN44" s="3">
        <v>0</v>
      </c>
      <c r="BO44" s="3"/>
      <c r="BP44" s="4">
        <v>0</v>
      </c>
      <c r="BQ44" s="4"/>
      <c r="BR44" s="4">
        <v>0</v>
      </c>
      <c r="BS44" s="4"/>
      <c r="BT44" s="3">
        <v>0</v>
      </c>
      <c r="BV44">
        <v>0</v>
      </c>
      <c r="BX44">
        <v>2.8664759999999996</v>
      </c>
      <c r="BZ44">
        <v>3.2618519999999998</v>
      </c>
      <c r="CB44">
        <v>3.7313609999999997</v>
      </c>
      <c r="CD44" s="35">
        <v>8.1050439999999995</v>
      </c>
      <c r="CE44" s="35"/>
      <c r="CF44" s="35">
        <v>0</v>
      </c>
      <c r="CH44" s="24">
        <f>(CF44-CD44)/CD44</f>
        <v>-1</v>
      </c>
      <c r="CI44" s="3">
        <f>CF44-CD44</f>
        <v>-8.1050439999999995</v>
      </c>
      <c r="CJ44" s="24">
        <f>CF44/CK44</f>
        <v>0</v>
      </c>
      <c r="CK44" s="38">
        <v>3</v>
      </c>
    </row>
    <row r="45" spans="1:90" x14ac:dyDescent="0.25">
      <c r="A45" t="s">
        <v>115</v>
      </c>
      <c r="B45" t="s">
        <v>116</v>
      </c>
      <c r="C45" t="s">
        <v>189</v>
      </c>
      <c r="D45" t="str">
        <f>CONCATENATE(B45, " ", C45)</f>
        <v>Tangier Sound Segment 1 (Mesohaline)</v>
      </c>
      <c r="E45">
        <v>36.1</v>
      </c>
      <c r="F45" s="3">
        <v>3655.0287209999997</v>
      </c>
      <c r="G45" s="3"/>
      <c r="H45" s="3">
        <v>4728.9440699999996</v>
      </c>
      <c r="I45" s="3"/>
      <c r="J45" s="3">
        <v>6200.2370099999998</v>
      </c>
      <c r="K45" s="3"/>
      <c r="L45" s="3">
        <v>5458.8575879999999</v>
      </c>
      <c r="M45" s="3"/>
      <c r="N45" s="3">
        <v>7220.2329569999993</v>
      </c>
      <c r="O45" s="3"/>
      <c r="P45" s="3">
        <v>7585.4368259999992</v>
      </c>
      <c r="Q45" s="3"/>
      <c r="R45" s="3">
        <v>8448.3696569999993</v>
      </c>
      <c r="S45" s="3"/>
      <c r="T45" s="3">
        <v>9128.0951339999992</v>
      </c>
      <c r="U45" s="3"/>
      <c r="V45" s="3">
        <v>8363.8086149999999</v>
      </c>
      <c r="W45" s="3"/>
      <c r="X45" s="3">
        <v>5525.972663999999</v>
      </c>
      <c r="Y45" s="3"/>
      <c r="Z45" s="3">
        <v>4430.262213</v>
      </c>
      <c r="AA45" s="3"/>
      <c r="AB45" s="3">
        <v>4140.3280500000001</v>
      </c>
      <c r="AC45" s="3"/>
      <c r="AD45" s="3">
        <v>3187.5213119999999</v>
      </c>
      <c r="AE45" s="3"/>
      <c r="AF45" s="3">
        <v>1771.2350579999998</v>
      </c>
      <c r="AG45" s="3"/>
      <c r="AH45" s="3">
        <v>4662.8915669999997</v>
      </c>
      <c r="AI45" s="3"/>
      <c r="AJ45" s="3">
        <v>6423.9209819999996</v>
      </c>
      <c r="AK45" s="3"/>
      <c r="AL45" s="3">
        <v>7359.7759740000001</v>
      </c>
      <c r="AM45" s="3"/>
      <c r="AN45" s="3">
        <v>8582.3526989999991</v>
      </c>
      <c r="AO45" s="3"/>
      <c r="AP45" s="3">
        <v>4490.6311859999996</v>
      </c>
      <c r="AQ45" s="3"/>
      <c r="AR45" s="3">
        <v>4246.5112170000002</v>
      </c>
      <c r="AS45" s="3"/>
      <c r="AT45" s="3">
        <v>5412.3514860000005</v>
      </c>
      <c r="AU45" s="3"/>
      <c r="AV45" s="3">
        <v>4139.0183669999997</v>
      </c>
      <c r="AW45" s="3"/>
      <c r="AX45" s="3">
        <v>4202.0314170000001</v>
      </c>
      <c r="AY45" s="3"/>
      <c r="AZ45" s="3">
        <v>5074.1320289999994</v>
      </c>
      <c r="BA45" s="3"/>
      <c r="BB45" s="3">
        <v>7125.8122259999991</v>
      </c>
      <c r="BC45" s="3"/>
      <c r="BD45" s="3">
        <v>7907.3964449999994</v>
      </c>
      <c r="BE45" s="3"/>
      <c r="BF45" s="3">
        <v>6141.2518529999998</v>
      </c>
      <c r="BG45" s="3"/>
      <c r="BH45" s="3">
        <v>6091.7310090000001</v>
      </c>
      <c r="BI45" s="3"/>
      <c r="BJ45" s="3">
        <v>8367.6388199999983</v>
      </c>
      <c r="BK45" s="3"/>
      <c r="BL45" s="3">
        <v>10544.257832999998</v>
      </c>
      <c r="BM45" s="3"/>
      <c r="BN45" s="3">
        <v>13802.600870999999</v>
      </c>
      <c r="BO45" s="3"/>
      <c r="BP45" s="4">
        <v>14467.598592</v>
      </c>
      <c r="BQ45" s="4"/>
      <c r="BR45" s="4">
        <v>13679.095293</v>
      </c>
      <c r="BS45" s="4"/>
      <c r="BT45" s="3">
        <v>16751.611611</v>
      </c>
      <c r="BV45">
        <v>4314.9112649999997</v>
      </c>
      <c r="BX45">
        <v>4756.6451010000001</v>
      </c>
      <c r="BZ45">
        <v>4328.8482690000001</v>
      </c>
      <c r="CB45">
        <v>6163.6647300000004</v>
      </c>
      <c r="CD45" s="35">
        <v>7461.6814219999997</v>
      </c>
      <c r="CE45" s="35"/>
      <c r="CF45" s="35">
        <v>6836.6540349999996</v>
      </c>
      <c r="CH45" s="24">
        <f>(CF45-CD45)/CD45</f>
        <v>-8.3764952113496993E-2</v>
      </c>
      <c r="CI45" s="3">
        <f>CF45-CD45</f>
        <v>-625.02738700000009</v>
      </c>
      <c r="CJ45" s="24">
        <f>CF45/CK45</f>
        <v>0.27697824555361988</v>
      </c>
      <c r="CK45" s="38">
        <v>24683</v>
      </c>
      <c r="CL45" s="22"/>
    </row>
    <row r="46" spans="1:90" x14ac:dyDescent="0.25">
      <c r="A46" t="s">
        <v>117</v>
      </c>
      <c r="B46" t="s">
        <v>118</v>
      </c>
      <c r="C46" t="s">
        <v>189</v>
      </c>
      <c r="D46" t="str">
        <f>CONCATENATE(B46, " ", C46)</f>
        <v>Tangier Sound Segment 2 (Mesohaline)</v>
      </c>
      <c r="E46">
        <v>36.200000000000003</v>
      </c>
      <c r="F46" s="3">
        <v>0</v>
      </c>
      <c r="G46" s="3"/>
      <c r="H46" s="3">
        <v>0</v>
      </c>
      <c r="I46" s="3"/>
      <c r="J46" s="3">
        <v>0</v>
      </c>
      <c r="K46" s="3"/>
      <c r="L46" s="3">
        <v>0</v>
      </c>
      <c r="M46" s="3"/>
      <c r="N46" s="3">
        <v>0</v>
      </c>
      <c r="O46" s="3"/>
      <c r="P46" s="3">
        <v>0</v>
      </c>
      <c r="Q46" s="3"/>
      <c r="R46" s="3">
        <v>0</v>
      </c>
      <c r="S46" s="3"/>
      <c r="T46" s="3">
        <v>0</v>
      </c>
      <c r="U46" s="3"/>
      <c r="V46" s="3">
        <v>0</v>
      </c>
      <c r="W46" s="3"/>
      <c r="X46" s="3">
        <v>0</v>
      </c>
      <c r="Y46" s="3"/>
      <c r="Z46" s="3">
        <v>0</v>
      </c>
      <c r="AA46" s="3"/>
      <c r="AB46" s="3">
        <v>0</v>
      </c>
      <c r="AC46" s="3"/>
      <c r="AD46" s="3">
        <v>0</v>
      </c>
      <c r="AE46" s="3"/>
      <c r="AF46" s="3">
        <v>0</v>
      </c>
      <c r="AG46" s="3"/>
      <c r="AH46" s="3">
        <v>0</v>
      </c>
      <c r="AI46" s="3"/>
      <c r="AJ46" s="3">
        <v>0</v>
      </c>
      <c r="AK46" s="3"/>
      <c r="AL46" s="3">
        <v>0</v>
      </c>
      <c r="AM46" s="3"/>
      <c r="AN46" s="3">
        <v>4.8186449999999992</v>
      </c>
      <c r="AO46" s="3"/>
      <c r="AP46" s="3">
        <v>0</v>
      </c>
      <c r="AQ46" s="3"/>
      <c r="AR46" s="3">
        <v>0</v>
      </c>
      <c r="AS46" s="3"/>
      <c r="AT46" s="3">
        <v>0</v>
      </c>
      <c r="AU46" s="3"/>
      <c r="AV46" s="3">
        <v>0.88959599999999994</v>
      </c>
      <c r="AW46" s="3"/>
      <c r="AX46" s="3">
        <v>0</v>
      </c>
      <c r="AY46" s="3"/>
      <c r="AZ46" s="3">
        <v>0</v>
      </c>
      <c r="BA46" s="3"/>
      <c r="BB46" s="3">
        <v>4.6703789999999996</v>
      </c>
      <c r="BC46" s="3"/>
      <c r="BD46" s="3">
        <v>4.6456679999999997</v>
      </c>
      <c r="BE46" s="3"/>
      <c r="BF46" s="3">
        <v>3.3606959999999999</v>
      </c>
      <c r="BG46" s="3"/>
      <c r="BH46" s="3">
        <v>3.9537599999999999</v>
      </c>
      <c r="BI46" s="3"/>
      <c r="BJ46" s="3">
        <v>3.187719</v>
      </c>
      <c r="BK46" s="3"/>
      <c r="BL46" s="3">
        <v>2.9900309999999997</v>
      </c>
      <c r="BM46" s="3"/>
      <c r="BN46" s="3">
        <v>3.3112740000000001</v>
      </c>
      <c r="BO46" s="3"/>
      <c r="BP46" s="4">
        <v>4.9421999999999997</v>
      </c>
      <c r="BQ46" s="4"/>
      <c r="BR46" s="4">
        <v>5.757663</v>
      </c>
      <c r="BS46" s="4"/>
      <c r="BT46" s="3">
        <v>0</v>
      </c>
      <c r="BV46">
        <v>0</v>
      </c>
      <c r="BX46">
        <v>2.1992789999999998</v>
      </c>
      <c r="BZ46">
        <v>3.163008</v>
      </c>
      <c r="CB46">
        <v>3.6819389999999999</v>
      </c>
      <c r="CD46" s="35">
        <v>4.5220215000000001</v>
      </c>
      <c r="CE46" s="35"/>
      <c r="CF46" s="35">
        <v>1.8038665</v>
      </c>
      <c r="CH46" s="24">
        <f>(CF46-CD46)/CD46</f>
        <v>-0.60109289617486339</v>
      </c>
      <c r="CI46" s="3">
        <f>CF46-CD46</f>
        <v>-2.7181550000000003</v>
      </c>
      <c r="CJ46" s="24">
        <f>CF46/CK46</f>
        <v>2.4376574324324326E-2</v>
      </c>
      <c r="CK46" s="38">
        <v>74</v>
      </c>
      <c r="CL46" s="22"/>
    </row>
    <row r="47" spans="1:90" x14ac:dyDescent="0.25">
      <c r="A47" s="12" t="s">
        <v>182</v>
      </c>
      <c r="B47" s="12" t="s">
        <v>173</v>
      </c>
      <c r="C47" s="12" t="s">
        <v>189</v>
      </c>
      <c r="D47" t="str">
        <f>CONCATENATE(B47, " ", C47)</f>
        <v>Tangier Sound (Mesohaline)</v>
      </c>
      <c r="E47" s="12">
        <v>36</v>
      </c>
      <c r="F47" s="13">
        <f>SUM(F45:F46)</f>
        <v>3655.0287209999997</v>
      </c>
      <c r="G47" s="13"/>
      <c r="H47" s="13">
        <f>SUM(H45:H46)</f>
        <v>4728.9440699999996</v>
      </c>
      <c r="I47" s="13"/>
      <c r="J47" s="13">
        <f>SUM(J45:J46)</f>
        <v>6200.2370099999998</v>
      </c>
      <c r="K47" s="13"/>
      <c r="L47" s="13">
        <f>SUM(L45:L46)</f>
        <v>5458.8575879999999</v>
      </c>
      <c r="M47" s="13"/>
      <c r="N47" s="13">
        <f>SUM(N45:N46)</f>
        <v>7220.2329569999993</v>
      </c>
      <c r="O47" s="13"/>
      <c r="P47" s="13">
        <f>SUM(P45:P46)</f>
        <v>7585.4368259999992</v>
      </c>
      <c r="Q47" s="13"/>
      <c r="R47" s="13">
        <f>SUM(R45:R46)</f>
        <v>8448.3696569999993</v>
      </c>
      <c r="S47" s="13"/>
      <c r="T47" s="13">
        <f>SUM(T45:T46)</f>
        <v>9128.0951339999992</v>
      </c>
      <c r="U47" s="13"/>
      <c r="V47" s="13">
        <f>SUM(V45:V46)</f>
        <v>8363.8086149999999</v>
      </c>
      <c r="W47" s="13"/>
      <c r="X47" s="13">
        <f>SUM(X45:X46)</f>
        <v>5525.972663999999</v>
      </c>
      <c r="Y47" s="13"/>
      <c r="Z47" s="13">
        <f>SUM(Z45:Z46)</f>
        <v>4430.262213</v>
      </c>
      <c r="AA47" s="13"/>
      <c r="AB47" s="13">
        <f>SUM(AB45:AB46)</f>
        <v>4140.3280500000001</v>
      </c>
      <c r="AC47" s="13"/>
      <c r="AD47" s="13">
        <f>SUM(AD45:AD46)</f>
        <v>3187.5213119999999</v>
      </c>
      <c r="AE47" s="13"/>
      <c r="AF47" s="13">
        <f>SUM(AF45:AF46)</f>
        <v>1771.2350579999998</v>
      </c>
      <c r="AG47" s="13"/>
      <c r="AH47" s="13">
        <f>SUM(AH45:AH46)</f>
        <v>4662.8915669999997</v>
      </c>
      <c r="AI47" s="13"/>
      <c r="AJ47" s="13">
        <f>SUM(AJ45:AJ46)</f>
        <v>6423.9209819999996</v>
      </c>
      <c r="AK47" s="13"/>
      <c r="AL47" s="13">
        <f>SUM(AL45:AL46)</f>
        <v>7359.7759740000001</v>
      </c>
      <c r="AM47" s="13"/>
      <c r="AN47" s="13">
        <f>SUM(AN45:AN46)</f>
        <v>8587.1713439999985</v>
      </c>
      <c r="AO47" s="13"/>
      <c r="AP47" s="13">
        <f>SUM(AP45:AP46)</f>
        <v>4490.6311859999996</v>
      </c>
      <c r="AQ47" s="13"/>
      <c r="AR47" s="13">
        <f>SUM(AR45:AR46)</f>
        <v>4246.5112170000002</v>
      </c>
      <c r="AS47" s="13"/>
      <c r="AT47" s="13">
        <f>SUM(AT45:AT46)</f>
        <v>5412.3514860000005</v>
      </c>
      <c r="AU47" s="13"/>
      <c r="AV47" s="13">
        <f>SUM(AV45:AV46)</f>
        <v>4139.9079629999997</v>
      </c>
      <c r="AW47" s="13"/>
      <c r="AX47" s="13">
        <f>SUM(AX45:AX46)</f>
        <v>4202.0314170000001</v>
      </c>
      <c r="AY47" s="13"/>
      <c r="AZ47" s="13">
        <f>SUM(AZ45:AZ46)</f>
        <v>5074.1320289999994</v>
      </c>
      <c r="BA47" s="13"/>
      <c r="BB47" s="13">
        <f>SUM(BB45:BB46)</f>
        <v>7130.4826049999992</v>
      </c>
      <c r="BC47" s="13"/>
      <c r="BD47" s="13">
        <f>SUM(BD45:BD46)</f>
        <v>7912.0421129999995</v>
      </c>
      <c r="BE47" s="13"/>
      <c r="BF47" s="13">
        <f>SUM(BF45:BF46)</f>
        <v>6144.6125489999995</v>
      </c>
      <c r="BG47" s="13"/>
      <c r="BH47" s="13">
        <f>SUM(BH45:BH46)</f>
        <v>6095.6847690000004</v>
      </c>
      <c r="BI47" s="13"/>
      <c r="BJ47" s="13">
        <f>SUM(BJ45:BJ46)</f>
        <v>8370.8265389999979</v>
      </c>
      <c r="BK47" s="13"/>
      <c r="BL47" s="13">
        <f>SUM(BL45:BL46)</f>
        <v>10547.247863999997</v>
      </c>
      <c r="BM47" s="13"/>
      <c r="BN47" s="13">
        <f>SUM(BN45:BN46)</f>
        <v>13805.912144999998</v>
      </c>
      <c r="BO47" s="13"/>
      <c r="BP47" s="14">
        <f>SUM(BP45:BP46)</f>
        <v>14472.540792</v>
      </c>
      <c r="BQ47" s="14"/>
      <c r="BR47" s="14">
        <f>SUM(BR45:BR46)</f>
        <v>13684.852956000001</v>
      </c>
      <c r="BS47" s="14"/>
      <c r="BT47" s="13">
        <v>16751.611611</v>
      </c>
      <c r="BU47" s="12"/>
      <c r="BV47" s="12">
        <f>SUM(BV45:BV46)</f>
        <v>4314.9112649999997</v>
      </c>
      <c r="BW47" s="12"/>
      <c r="BX47" s="12">
        <f>SUM(BX45:BX46)</f>
        <v>4758.8443800000005</v>
      </c>
      <c r="BY47" s="12"/>
      <c r="BZ47" s="12">
        <v>4332.0112770000005</v>
      </c>
      <c r="CA47" s="12"/>
      <c r="CB47" s="12">
        <f>SUM(CB45:CB46)</f>
        <v>6167.3466690000005</v>
      </c>
      <c r="CC47" s="12"/>
      <c r="CD47" s="33">
        <f>SUM(CD45:CD46)</f>
        <v>7466.2034434999996</v>
      </c>
      <c r="CE47" s="33"/>
      <c r="CF47" s="33">
        <f>SUM(CF45:CF46)</f>
        <v>6838.4579014999999</v>
      </c>
      <c r="CH47" s="24">
        <f>(CF47-CD47)/CD47</f>
        <v>-8.4078279777724044E-2</v>
      </c>
      <c r="CI47" s="3">
        <f>CF47-CD47</f>
        <v>-627.74554199999966</v>
      </c>
      <c r="CJ47" s="24">
        <f>CF47/CK47</f>
        <v>0.27622320561861291</v>
      </c>
      <c r="CK47" s="38">
        <f>SUM(CK45:CK46)</f>
        <v>24757</v>
      </c>
      <c r="CL47" s="22"/>
    </row>
    <row r="48" spans="1:90" x14ac:dyDescent="0.25">
      <c r="A48" t="s">
        <v>73</v>
      </c>
      <c r="B48" t="s">
        <v>74</v>
      </c>
      <c r="C48" t="s">
        <v>189</v>
      </c>
      <c r="D48" t="str">
        <f>CONCATENATE(B48, " ", C48)</f>
        <v>Manokin River Segment 1 (Mesohaline)</v>
      </c>
      <c r="E48">
        <v>37.1</v>
      </c>
      <c r="F48" s="3">
        <v>0</v>
      </c>
      <c r="G48" s="3"/>
      <c r="H48" s="3">
        <v>179.10532799999999</v>
      </c>
      <c r="I48" s="3"/>
      <c r="J48" s="3">
        <v>345.11382599999996</v>
      </c>
      <c r="K48" s="3"/>
      <c r="L48" s="3">
        <v>344.27365199999997</v>
      </c>
      <c r="M48" s="3"/>
      <c r="N48" s="3">
        <v>217.06142399999999</v>
      </c>
      <c r="O48" s="3"/>
      <c r="P48" s="3">
        <v>254.47387799999998</v>
      </c>
      <c r="Q48" s="3"/>
      <c r="R48" s="3">
        <v>282.74326200000002</v>
      </c>
      <c r="S48" s="3"/>
      <c r="T48" s="3">
        <v>354.87467100000003</v>
      </c>
      <c r="U48" s="3"/>
      <c r="V48" s="3">
        <v>387.32021400000002</v>
      </c>
      <c r="W48" s="3"/>
      <c r="X48" s="3">
        <v>165.242457</v>
      </c>
      <c r="Y48" s="3"/>
      <c r="Z48" s="3">
        <v>231.29495999999997</v>
      </c>
      <c r="AA48" s="3"/>
      <c r="AB48" s="3">
        <v>19.867643999999995</v>
      </c>
      <c r="AC48" s="3"/>
      <c r="AD48" s="3">
        <v>139.46888399999997</v>
      </c>
      <c r="AE48" s="3"/>
      <c r="AF48" s="3">
        <v>34.620110999999994</v>
      </c>
      <c r="AG48" s="3"/>
      <c r="AH48" s="3">
        <v>239.10363599999999</v>
      </c>
      <c r="AI48" s="3"/>
      <c r="AJ48" s="3">
        <v>451.420548</v>
      </c>
      <c r="AK48" s="3"/>
      <c r="AL48" s="3">
        <v>403.67889600000001</v>
      </c>
      <c r="AM48" s="3"/>
      <c r="AN48" s="3">
        <v>723.41452499999991</v>
      </c>
      <c r="AO48" s="3"/>
      <c r="AP48" s="3">
        <v>234.630945</v>
      </c>
      <c r="AQ48" s="3"/>
      <c r="AR48" s="3">
        <v>291.21913499999999</v>
      </c>
      <c r="AS48" s="3"/>
      <c r="AT48" s="3">
        <v>409.88135699999998</v>
      </c>
      <c r="AU48" s="3"/>
      <c r="AV48" s="3">
        <v>231.17140499999999</v>
      </c>
      <c r="AW48" s="3"/>
      <c r="AX48" s="3">
        <v>285.26378399999999</v>
      </c>
      <c r="AY48" s="3"/>
      <c r="AZ48" s="3">
        <v>414.92240099999998</v>
      </c>
      <c r="BA48" s="3"/>
      <c r="BB48" s="3">
        <v>585.30474600000002</v>
      </c>
      <c r="BC48" s="3"/>
      <c r="BD48" s="3">
        <v>871.16159400000004</v>
      </c>
      <c r="BE48" s="3"/>
      <c r="BF48" s="3">
        <v>534.07884300000001</v>
      </c>
      <c r="BG48" s="3"/>
      <c r="BH48" s="3">
        <v>583.20431099999996</v>
      </c>
      <c r="BI48" s="3"/>
      <c r="BJ48" s="3">
        <v>777.50690399999996</v>
      </c>
      <c r="BK48" s="3"/>
      <c r="BL48" s="3">
        <v>1098.725193</v>
      </c>
      <c r="BM48" s="3"/>
      <c r="BN48" s="3">
        <v>1194.307341</v>
      </c>
      <c r="BO48" s="3"/>
      <c r="BP48" s="4">
        <v>1402.9423139999999</v>
      </c>
      <c r="BQ48" s="4"/>
      <c r="BR48" s="4">
        <v>1798.7136899999998</v>
      </c>
      <c r="BS48" s="4"/>
      <c r="BT48" s="3">
        <v>2007.9664379999999</v>
      </c>
      <c r="BV48">
        <v>554.95963800000004</v>
      </c>
      <c r="BX48">
        <v>655.755807</v>
      </c>
      <c r="BZ48">
        <v>491.57592299999999</v>
      </c>
      <c r="CB48">
        <v>443.63658299999997</v>
      </c>
      <c r="CD48" s="35">
        <v>412.19585050000001</v>
      </c>
      <c r="CE48" s="35"/>
      <c r="CF48" s="35">
        <v>160.66767099999998</v>
      </c>
      <c r="CH48" s="24">
        <f>(CF48-CD48)/CD48</f>
        <v>-0.61021521491517294</v>
      </c>
      <c r="CI48" s="3">
        <f>CF48-CD48</f>
        <v>-251.52817950000002</v>
      </c>
      <c r="CJ48" s="24">
        <f>CF48/CK48</f>
        <v>3.7416784117373078E-2</v>
      </c>
      <c r="CK48" s="38">
        <v>4294</v>
      </c>
      <c r="CL48" s="22"/>
    </row>
    <row r="49" spans="1:90" x14ac:dyDescent="0.25">
      <c r="A49" t="s">
        <v>75</v>
      </c>
      <c r="B49" s="10" t="s">
        <v>190</v>
      </c>
      <c r="C49" t="s">
        <v>189</v>
      </c>
      <c r="D49" t="str">
        <f>CONCATENATE(B49, " ", C49)</f>
        <v>Manokin River Segment 2 (Mesohaline)</v>
      </c>
      <c r="E49">
        <v>37.200000000000003</v>
      </c>
      <c r="F49" s="3">
        <v>0</v>
      </c>
      <c r="G49" s="3"/>
      <c r="H49" s="3">
        <v>0</v>
      </c>
      <c r="I49" s="3"/>
      <c r="J49" s="3">
        <v>0</v>
      </c>
      <c r="K49" s="3"/>
      <c r="L49" s="3">
        <v>0</v>
      </c>
      <c r="M49" s="3"/>
      <c r="N49" s="3">
        <v>0</v>
      </c>
      <c r="O49" s="3"/>
      <c r="P49" s="3">
        <v>0</v>
      </c>
      <c r="Q49" s="3"/>
      <c r="R49" s="3">
        <v>0</v>
      </c>
      <c r="S49" s="3"/>
      <c r="T49" s="3">
        <v>0</v>
      </c>
      <c r="U49" s="3"/>
      <c r="V49" s="3">
        <v>0</v>
      </c>
      <c r="W49" s="3"/>
      <c r="X49" s="3">
        <v>0</v>
      </c>
      <c r="Y49" s="3"/>
      <c r="Z49" s="3">
        <v>0</v>
      </c>
      <c r="AA49" s="3"/>
      <c r="AB49" s="3">
        <v>0</v>
      </c>
      <c r="AC49" s="3"/>
      <c r="AD49" s="3">
        <v>0</v>
      </c>
      <c r="AE49" s="3"/>
      <c r="AF49" s="3">
        <v>0</v>
      </c>
      <c r="AG49" s="3"/>
      <c r="AH49" s="3">
        <v>0</v>
      </c>
      <c r="AI49" s="3"/>
      <c r="AJ49" s="3">
        <v>0</v>
      </c>
      <c r="AK49" s="3"/>
      <c r="AL49" s="3">
        <v>0</v>
      </c>
      <c r="AM49" s="3"/>
      <c r="AN49" s="3">
        <v>4.3491359999999997</v>
      </c>
      <c r="AO49" s="3"/>
      <c r="AP49" s="3">
        <v>0</v>
      </c>
      <c r="AQ49" s="3"/>
      <c r="AR49" s="3">
        <v>0</v>
      </c>
      <c r="AS49" s="3"/>
      <c r="AT49" s="3">
        <v>0</v>
      </c>
      <c r="AU49" s="3"/>
      <c r="AV49" s="3">
        <v>0</v>
      </c>
      <c r="AW49" s="3"/>
      <c r="AX49" s="3">
        <v>0</v>
      </c>
      <c r="AY49" s="3"/>
      <c r="AZ49" s="3">
        <v>0</v>
      </c>
      <c r="BA49" s="3"/>
      <c r="BB49" s="3">
        <v>0</v>
      </c>
      <c r="BC49" s="3"/>
      <c r="BD49" s="3">
        <v>12.899141999999999</v>
      </c>
      <c r="BE49" s="3"/>
      <c r="BF49" s="3">
        <v>6.5731260000000002</v>
      </c>
      <c r="BG49" s="3"/>
      <c r="BH49" s="3">
        <v>10.601018999999999</v>
      </c>
      <c r="BI49" s="3"/>
      <c r="BJ49" s="3">
        <v>20.979638999999999</v>
      </c>
      <c r="BK49" s="3"/>
      <c r="BL49" s="3">
        <v>40.501328999999998</v>
      </c>
      <c r="BM49" s="3"/>
      <c r="BN49" s="3">
        <v>39.587021999999997</v>
      </c>
      <c r="BO49" s="3"/>
      <c r="BP49" s="4">
        <v>106.677387</v>
      </c>
      <c r="BQ49" s="4"/>
      <c r="BR49" s="4">
        <v>99.09111</v>
      </c>
      <c r="BS49" s="4"/>
      <c r="BT49" s="3">
        <v>46.036592999999996</v>
      </c>
      <c r="BV49">
        <v>28.467071999999998</v>
      </c>
      <c r="BX49">
        <v>42.156965999999997</v>
      </c>
      <c r="BZ49">
        <v>12.404921999999997</v>
      </c>
      <c r="CB49">
        <v>13.937003999999998</v>
      </c>
      <c r="CD49" s="35">
        <v>45.195504499999998</v>
      </c>
      <c r="CE49" s="35"/>
      <c r="CF49" s="35">
        <v>0</v>
      </c>
      <c r="CH49" s="24">
        <f>(CF49-CD49)/CD49</f>
        <v>-1</v>
      </c>
      <c r="CI49" s="3">
        <f>CF49-CD49</f>
        <v>-45.195504499999998</v>
      </c>
      <c r="CJ49" s="24">
        <f>CF49/CK49</f>
        <v>0</v>
      </c>
      <c r="CK49" s="38">
        <v>59</v>
      </c>
    </row>
    <row r="50" spans="1:90" x14ac:dyDescent="0.25">
      <c r="A50" s="12" t="s">
        <v>183</v>
      </c>
      <c r="B50" s="11" t="s">
        <v>174</v>
      </c>
      <c r="C50" s="11" t="s">
        <v>189</v>
      </c>
      <c r="D50" t="str">
        <f>CONCATENATE(B50, " ", C50)</f>
        <v>Manokin River (Mesohaline)</v>
      </c>
      <c r="E50" s="12">
        <v>37</v>
      </c>
      <c r="F50" s="13">
        <f>SUM(F48:F49)</f>
        <v>0</v>
      </c>
      <c r="G50" s="13"/>
      <c r="H50" s="13">
        <f>SUM(H48:H49)</f>
        <v>179.10532799999999</v>
      </c>
      <c r="I50" s="13"/>
      <c r="J50" s="13">
        <f>SUM(J48:J49)</f>
        <v>345.11382599999996</v>
      </c>
      <c r="K50" s="13"/>
      <c r="L50" s="13">
        <f>SUM(L48:L49)</f>
        <v>344.27365199999997</v>
      </c>
      <c r="M50" s="13"/>
      <c r="N50" s="13">
        <f>SUM(N48:N49)</f>
        <v>217.06142399999999</v>
      </c>
      <c r="O50" s="13"/>
      <c r="P50" s="13">
        <f>SUM(P48:P49)</f>
        <v>254.47387799999998</v>
      </c>
      <c r="Q50" s="13"/>
      <c r="R50" s="13">
        <f>SUM(R48:R49)</f>
        <v>282.74326200000002</v>
      </c>
      <c r="S50" s="13"/>
      <c r="T50" s="13">
        <f>SUM(T48:T49)</f>
        <v>354.87467100000003</v>
      </c>
      <c r="U50" s="13"/>
      <c r="V50" s="13">
        <f>SUM(V48:V49)</f>
        <v>387.32021400000002</v>
      </c>
      <c r="W50" s="13"/>
      <c r="X50" s="13">
        <f>SUM(X48:X49)</f>
        <v>165.242457</v>
      </c>
      <c r="Y50" s="13"/>
      <c r="Z50" s="13">
        <f>SUM(Z48:Z49)</f>
        <v>231.29495999999997</v>
      </c>
      <c r="AA50" s="13"/>
      <c r="AB50" s="13">
        <f>SUM(AB48:AB49)</f>
        <v>19.867643999999995</v>
      </c>
      <c r="AC50" s="13"/>
      <c r="AD50" s="13">
        <f>SUM(AD48:AD49)</f>
        <v>139.46888399999997</v>
      </c>
      <c r="AE50" s="13"/>
      <c r="AF50" s="13">
        <f>SUM(AF48:AF49)</f>
        <v>34.620110999999994</v>
      </c>
      <c r="AG50" s="13"/>
      <c r="AH50" s="13">
        <f>SUM(AH48:AH49)</f>
        <v>239.10363599999999</v>
      </c>
      <c r="AI50" s="13"/>
      <c r="AJ50" s="13">
        <f>SUM(AJ48:AJ49)</f>
        <v>451.420548</v>
      </c>
      <c r="AK50" s="13"/>
      <c r="AL50" s="13">
        <f>SUM(AL48:AL49)</f>
        <v>403.67889600000001</v>
      </c>
      <c r="AM50" s="13"/>
      <c r="AN50" s="13">
        <f>SUM(AN48:AN49)</f>
        <v>727.76366099999996</v>
      </c>
      <c r="AO50" s="13"/>
      <c r="AP50" s="13">
        <f>SUM(AP48:AP49)</f>
        <v>234.630945</v>
      </c>
      <c r="AQ50" s="13"/>
      <c r="AR50" s="13">
        <f>SUM(AR48:AR49)</f>
        <v>291.21913499999999</v>
      </c>
      <c r="AS50" s="13"/>
      <c r="AT50" s="13">
        <f>SUM(AT48:AT49)</f>
        <v>409.88135699999998</v>
      </c>
      <c r="AU50" s="13"/>
      <c r="AV50" s="13">
        <f>SUM(AV48:AV49)</f>
        <v>231.17140499999999</v>
      </c>
      <c r="AW50" s="13"/>
      <c r="AX50" s="13">
        <f>SUM(AX48:AX49)</f>
        <v>285.26378399999999</v>
      </c>
      <c r="AY50" s="13"/>
      <c r="AZ50" s="13">
        <f>SUM(AZ48:AZ49)</f>
        <v>414.92240099999998</v>
      </c>
      <c r="BA50" s="13"/>
      <c r="BB50" s="13">
        <f>SUM(BB48:BB49)</f>
        <v>585.30474600000002</v>
      </c>
      <c r="BC50" s="13"/>
      <c r="BD50" s="13">
        <f>SUM(BD48:BD49)</f>
        <v>884.06073600000002</v>
      </c>
      <c r="BE50" s="13"/>
      <c r="BF50" s="13">
        <f>SUM(BF48:BF49)</f>
        <v>540.65196900000001</v>
      </c>
      <c r="BG50" s="13"/>
      <c r="BH50" s="13">
        <f>SUM(BH48:BH49)</f>
        <v>593.80532999999991</v>
      </c>
      <c r="BI50" s="13"/>
      <c r="BJ50" s="13">
        <f>SUM(BJ48:BJ49)</f>
        <v>798.48654299999998</v>
      </c>
      <c r="BK50" s="13"/>
      <c r="BL50" s="13">
        <f>SUM(BL48:BL49)</f>
        <v>1139.2265219999999</v>
      </c>
      <c r="BM50" s="13"/>
      <c r="BN50" s="13">
        <f>SUM(BN48:BN49)</f>
        <v>1233.8943629999999</v>
      </c>
      <c r="BO50" s="13"/>
      <c r="BP50" s="14">
        <f>SUM(BP48:BP49)</f>
        <v>1509.6197009999998</v>
      </c>
      <c r="BQ50" s="14"/>
      <c r="BR50" s="14">
        <f>SUM(BR48:BR49)</f>
        <v>1897.8047999999999</v>
      </c>
      <c r="BS50" s="14"/>
      <c r="BT50" s="13">
        <v>2054.0030310000002</v>
      </c>
      <c r="BU50" s="12"/>
      <c r="BV50" s="12">
        <f>SUM(BV48:BV49)</f>
        <v>583.42671000000007</v>
      </c>
      <c r="BW50" s="12"/>
      <c r="BX50" s="12">
        <f>SUM(BX48:BX49)</f>
        <v>697.91277300000002</v>
      </c>
      <c r="BY50" s="12"/>
      <c r="BZ50" s="12">
        <v>503.98084499999999</v>
      </c>
      <c r="CA50" s="12"/>
      <c r="CB50" s="12">
        <f>SUM(CB48:CB49)</f>
        <v>457.57358699999997</v>
      </c>
      <c r="CC50" s="12"/>
      <c r="CD50" s="33">
        <f>SUM(CD48:CD49)</f>
        <v>457.39135499999998</v>
      </c>
      <c r="CE50" s="33"/>
      <c r="CF50" s="33">
        <f>SUM(CF48:CF49)</f>
        <v>160.66767099999998</v>
      </c>
      <c r="CH50" s="24">
        <f>(CF50-CD50)/CD50</f>
        <v>-0.64873041599135606</v>
      </c>
      <c r="CI50" s="3">
        <f>CF50-CD50</f>
        <v>-296.72368399999999</v>
      </c>
      <c r="CJ50" s="24">
        <f>CF50/CK50</f>
        <v>3.6909641856191132E-2</v>
      </c>
      <c r="CK50" s="38">
        <f>SUM(CK48:CK49)</f>
        <v>4353</v>
      </c>
      <c r="CL50" s="22"/>
    </row>
    <row r="51" spans="1:90" x14ac:dyDescent="0.25">
      <c r="A51" t="s">
        <v>76</v>
      </c>
      <c r="B51" t="s">
        <v>77</v>
      </c>
      <c r="C51" t="s">
        <v>189</v>
      </c>
      <c r="D51" t="str">
        <f>CONCATENATE(B51, " ", C51)</f>
        <v>Big Annemessex River Segment 1 (Mesohaline)</v>
      </c>
      <c r="E51">
        <v>38.1</v>
      </c>
      <c r="F51" s="3">
        <v>0</v>
      </c>
      <c r="G51" s="3"/>
      <c r="H51" s="3">
        <v>364.53667200000001</v>
      </c>
      <c r="I51" s="3"/>
      <c r="J51" s="3">
        <v>411.28988399999997</v>
      </c>
      <c r="K51" s="3"/>
      <c r="L51" s="3">
        <v>232.085712</v>
      </c>
      <c r="M51" s="3"/>
      <c r="N51" s="3">
        <v>353.02134599999999</v>
      </c>
      <c r="O51" s="3"/>
      <c r="P51" s="3">
        <v>314.54631899999998</v>
      </c>
      <c r="Q51" s="3"/>
      <c r="R51" s="3">
        <v>433.48036199999996</v>
      </c>
      <c r="S51" s="3"/>
      <c r="T51" s="3">
        <v>434.49351300000001</v>
      </c>
      <c r="U51" s="3"/>
      <c r="V51" s="3">
        <v>458.01838499999997</v>
      </c>
      <c r="W51" s="3"/>
      <c r="X51" s="3">
        <v>399.23091599999998</v>
      </c>
      <c r="Y51" s="3"/>
      <c r="Z51" s="3">
        <v>443.41418399999998</v>
      </c>
      <c r="AA51" s="3"/>
      <c r="AB51" s="3">
        <v>217.23440099999999</v>
      </c>
      <c r="AC51" s="3"/>
      <c r="AD51" s="3">
        <v>353.98507499999999</v>
      </c>
      <c r="AE51" s="3"/>
      <c r="AF51" s="3">
        <v>233.14828499999996</v>
      </c>
      <c r="AG51" s="3"/>
      <c r="AH51" s="3">
        <v>452.58196499999997</v>
      </c>
      <c r="AI51" s="3"/>
      <c r="AJ51" s="3">
        <v>588.96197399999994</v>
      </c>
      <c r="AK51" s="3"/>
      <c r="AL51" s="3">
        <v>720.77044799999999</v>
      </c>
      <c r="AM51" s="3"/>
      <c r="AN51" s="3">
        <v>780.20040300000005</v>
      </c>
      <c r="AO51" s="3"/>
      <c r="AP51" s="3">
        <v>450.45681899999994</v>
      </c>
      <c r="AQ51" s="3"/>
      <c r="AR51" s="3">
        <v>549.05370899999991</v>
      </c>
      <c r="AS51" s="3"/>
      <c r="AT51" s="3">
        <v>710.39182800000003</v>
      </c>
      <c r="AU51" s="3"/>
      <c r="AV51" s="3">
        <v>511.36943399999996</v>
      </c>
      <c r="AW51" s="3"/>
      <c r="AX51" s="3">
        <v>571.46658599999989</v>
      </c>
      <c r="AY51" s="3"/>
      <c r="AZ51" s="3">
        <v>722.32724099999996</v>
      </c>
      <c r="BA51" s="3"/>
      <c r="BB51" s="3">
        <v>849.36649199999999</v>
      </c>
      <c r="BC51" s="3"/>
      <c r="BD51" s="3">
        <v>949.22364299999992</v>
      </c>
      <c r="BE51" s="3"/>
      <c r="BF51" s="3">
        <v>671.42258099999992</v>
      </c>
      <c r="BG51" s="3"/>
      <c r="BH51" s="3">
        <v>755.31642599999998</v>
      </c>
      <c r="BI51" s="3"/>
      <c r="BJ51" s="3">
        <v>791.51804099999993</v>
      </c>
      <c r="BK51" s="3"/>
      <c r="BL51" s="3">
        <v>966.10125599999992</v>
      </c>
      <c r="BM51" s="3"/>
      <c r="BN51" s="3">
        <v>1209.8258489999998</v>
      </c>
      <c r="BO51" s="3"/>
      <c r="BP51" s="4">
        <v>1526.0030939999999</v>
      </c>
      <c r="BQ51" s="4"/>
      <c r="BR51" s="4">
        <v>1492.1490240000001</v>
      </c>
      <c r="BS51" s="4"/>
      <c r="BT51" s="3">
        <v>1587.3605069999999</v>
      </c>
      <c r="BV51">
        <v>736.33837800000003</v>
      </c>
      <c r="BX51">
        <v>757.81223699999998</v>
      </c>
      <c r="BZ51">
        <v>629.41388099999995</v>
      </c>
      <c r="CB51">
        <v>582.31471499999998</v>
      </c>
      <c r="CD51" s="35">
        <v>632.489958</v>
      </c>
      <c r="CE51" s="35"/>
      <c r="CF51" s="35">
        <v>427.29396599999995</v>
      </c>
      <c r="CH51" s="24">
        <f>(CF51-CD51)/CD51</f>
        <v>-0.32442569151429917</v>
      </c>
      <c r="CI51" s="3">
        <f>CF51-CD51</f>
        <v>-205.19599200000005</v>
      </c>
      <c r="CJ51" s="24">
        <f>CF51/CK51</f>
        <v>0.21142699950519542</v>
      </c>
      <c r="CK51" s="38">
        <v>2021</v>
      </c>
    </row>
    <row r="52" spans="1:90" x14ac:dyDescent="0.25">
      <c r="A52" t="s">
        <v>78</v>
      </c>
      <c r="B52" t="s">
        <v>79</v>
      </c>
      <c r="C52" t="s">
        <v>189</v>
      </c>
      <c r="D52" t="str">
        <f>CONCATENATE(B52, " ", C52)</f>
        <v>Big Annemessex River Segment 2 (Mesohaline)</v>
      </c>
      <c r="E52">
        <v>38.200000000000003</v>
      </c>
      <c r="F52" s="3">
        <v>0</v>
      </c>
      <c r="G52" s="3"/>
      <c r="H52" s="3">
        <v>0</v>
      </c>
      <c r="I52" s="3"/>
      <c r="J52" s="3">
        <v>0</v>
      </c>
      <c r="K52" s="3"/>
      <c r="L52" s="3">
        <v>0</v>
      </c>
      <c r="M52" s="3"/>
      <c r="N52" s="3">
        <v>0</v>
      </c>
      <c r="O52" s="3"/>
      <c r="P52" s="3">
        <v>0</v>
      </c>
      <c r="Q52" s="3"/>
      <c r="R52" s="3">
        <v>0</v>
      </c>
      <c r="S52" s="3"/>
      <c r="T52" s="3">
        <v>0</v>
      </c>
      <c r="U52" s="3"/>
      <c r="V52" s="3">
        <v>0</v>
      </c>
      <c r="W52" s="3"/>
      <c r="X52" s="3">
        <v>0</v>
      </c>
      <c r="Y52" s="3"/>
      <c r="Z52" s="3">
        <v>7.4132999999999991E-2</v>
      </c>
      <c r="AA52" s="3"/>
      <c r="AB52" s="3">
        <v>0</v>
      </c>
      <c r="AC52" s="3"/>
      <c r="AD52" s="3">
        <v>0</v>
      </c>
      <c r="AE52" s="3"/>
      <c r="AF52" s="3">
        <v>0</v>
      </c>
      <c r="AG52" s="3"/>
      <c r="AH52" s="3">
        <v>0</v>
      </c>
      <c r="AI52" s="3"/>
      <c r="AJ52" s="3">
        <v>0</v>
      </c>
      <c r="AK52" s="3"/>
      <c r="AL52" s="3">
        <v>0</v>
      </c>
      <c r="AM52" s="3"/>
      <c r="AN52" s="3">
        <v>1.828614</v>
      </c>
      <c r="AO52" s="3"/>
      <c r="AP52" s="3">
        <v>0</v>
      </c>
      <c r="AQ52" s="3"/>
      <c r="AR52" s="3">
        <v>0</v>
      </c>
      <c r="AS52" s="3"/>
      <c r="AT52" s="3">
        <v>0</v>
      </c>
      <c r="AU52" s="3"/>
      <c r="AV52" s="3">
        <v>0</v>
      </c>
      <c r="AW52" s="3"/>
      <c r="AX52" s="3">
        <v>0</v>
      </c>
      <c r="AY52" s="3"/>
      <c r="AZ52" s="3">
        <v>0</v>
      </c>
      <c r="BA52" s="3"/>
      <c r="BB52" s="3">
        <v>0</v>
      </c>
      <c r="BC52" s="3"/>
      <c r="BD52" s="3">
        <v>0</v>
      </c>
      <c r="BE52" s="3"/>
      <c r="BF52" s="3">
        <v>1.1614169999999999</v>
      </c>
      <c r="BG52" s="3"/>
      <c r="BH52" s="3">
        <v>3.9043380000000001</v>
      </c>
      <c r="BI52" s="3"/>
      <c r="BJ52" s="3">
        <v>2.5452330000000001</v>
      </c>
      <c r="BK52" s="3"/>
      <c r="BL52" s="3">
        <v>5.9553510000000003</v>
      </c>
      <c r="BM52" s="3"/>
      <c r="BN52" s="3">
        <v>10.526885999999999</v>
      </c>
      <c r="BO52" s="3"/>
      <c r="BP52" s="4">
        <v>37.140632999999994</v>
      </c>
      <c r="BQ52" s="4"/>
      <c r="BR52" s="4">
        <v>34.002336</v>
      </c>
      <c r="BS52" s="4"/>
      <c r="BT52" s="3">
        <v>36.942944999999995</v>
      </c>
      <c r="BV52">
        <v>24.538022999999999</v>
      </c>
      <c r="BX52">
        <v>19.175735999999997</v>
      </c>
      <c r="BZ52">
        <v>0.24711</v>
      </c>
      <c r="CB52">
        <v>0.17297700000000002</v>
      </c>
      <c r="CD52" s="35">
        <v>0.22239449999999999</v>
      </c>
      <c r="CE52" s="35"/>
      <c r="CF52" s="35">
        <v>0</v>
      </c>
      <c r="CH52" s="24">
        <f>(CF52-CD52)/CD52</f>
        <v>-1</v>
      </c>
      <c r="CI52" s="3">
        <f>CF52-CD52</f>
        <v>-0.22239449999999999</v>
      </c>
      <c r="CJ52" s="24">
        <f>CF52/CK52</f>
        <v>0</v>
      </c>
      <c r="CK52" s="38">
        <v>22</v>
      </c>
    </row>
    <row r="53" spans="1:90" x14ac:dyDescent="0.25">
      <c r="A53" s="12" t="s">
        <v>184</v>
      </c>
      <c r="B53" s="12" t="s">
        <v>175</v>
      </c>
      <c r="C53" s="12" t="s">
        <v>189</v>
      </c>
      <c r="D53" t="str">
        <f>CONCATENATE(B53, " ", C53)</f>
        <v>Big Annemessex River (Mesohaline)</v>
      </c>
      <c r="E53" s="12">
        <v>38</v>
      </c>
      <c r="F53" s="13">
        <f>SUM(F51:F52)</f>
        <v>0</v>
      </c>
      <c r="G53" s="13"/>
      <c r="H53" s="13">
        <f>SUM(H51:H52)</f>
        <v>364.53667200000001</v>
      </c>
      <c r="I53" s="13"/>
      <c r="J53" s="13">
        <f>SUM(J51:J52)</f>
        <v>411.28988399999997</v>
      </c>
      <c r="K53" s="13"/>
      <c r="L53" s="13">
        <f>SUM(L51:L52)</f>
        <v>232.085712</v>
      </c>
      <c r="M53" s="13"/>
      <c r="N53" s="13">
        <f>SUM(N51:N52)</f>
        <v>353.02134599999999</v>
      </c>
      <c r="O53" s="13"/>
      <c r="P53" s="13">
        <f>SUM(P51:P52)</f>
        <v>314.54631899999998</v>
      </c>
      <c r="Q53" s="13"/>
      <c r="R53" s="13">
        <f>SUM(R51:R52)</f>
        <v>433.48036199999996</v>
      </c>
      <c r="S53" s="13"/>
      <c r="T53" s="13">
        <f>SUM(T51:T52)</f>
        <v>434.49351300000001</v>
      </c>
      <c r="U53" s="13"/>
      <c r="V53" s="13">
        <f>SUM(V51:V52)</f>
        <v>458.01838499999997</v>
      </c>
      <c r="W53" s="13"/>
      <c r="X53" s="13">
        <f>SUM(X51:X52)</f>
        <v>399.23091599999998</v>
      </c>
      <c r="Y53" s="13"/>
      <c r="Z53" s="13">
        <f>SUM(Z51:Z52)</f>
        <v>443.488317</v>
      </c>
      <c r="AA53" s="13"/>
      <c r="AB53" s="13">
        <f>SUM(AB51:AB52)</f>
        <v>217.23440099999999</v>
      </c>
      <c r="AC53" s="13"/>
      <c r="AD53" s="13">
        <f>SUM(AD51:AD52)</f>
        <v>353.98507499999999</v>
      </c>
      <c r="AE53" s="13"/>
      <c r="AF53" s="13">
        <f>SUM(AF51:AF52)</f>
        <v>233.14828499999996</v>
      </c>
      <c r="AG53" s="13"/>
      <c r="AH53" s="13">
        <f>SUM(AH51:AH52)</f>
        <v>452.58196499999997</v>
      </c>
      <c r="AI53" s="13"/>
      <c r="AJ53" s="13">
        <f>SUM(AJ51:AJ52)</f>
        <v>588.96197399999994</v>
      </c>
      <c r="AK53" s="13"/>
      <c r="AL53" s="13">
        <f>SUM(AL51:AL52)</f>
        <v>720.77044799999999</v>
      </c>
      <c r="AM53" s="13"/>
      <c r="AN53" s="13">
        <f>SUM(AN51:AN52)</f>
        <v>782.02901700000007</v>
      </c>
      <c r="AO53" s="13"/>
      <c r="AP53" s="13">
        <f>SUM(AP51:AP52)</f>
        <v>450.45681899999994</v>
      </c>
      <c r="AQ53" s="13"/>
      <c r="AR53" s="13">
        <f>SUM(AR51:AR52)</f>
        <v>549.05370899999991</v>
      </c>
      <c r="AS53" s="13"/>
      <c r="AT53" s="13">
        <f>SUM(AT51:AT52)</f>
        <v>710.39182800000003</v>
      </c>
      <c r="AU53" s="13"/>
      <c r="AV53" s="13">
        <f>SUM(AV51:AV52)</f>
        <v>511.36943399999996</v>
      </c>
      <c r="AW53" s="13"/>
      <c r="AX53" s="13">
        <f>SUM(AX51:AX52)</f>
        <v>571.46658599999989</v>
      </c>
      <c r="AY53" s="13"/>
      <c r="AZ53" s="13">
        <f>SUM(AZ51:AZ52)</f>
        <v>722.32724099999996</v>
      </c>
      <c r="BA53" s="13"/>
      <c r="BB53" s="13">
        <f>SUM(BB51:BB52)</f>
        <v>849.36649199999999</v>
      </c>
      <c r="BC53" s="13"/>
      <c r="BD53" s="13">
        <f>SUM(BD51:BD52)</f>
        <v>949.22364299999992</v>
      </c>
      <c r="BE53" s="13"/>
      <c r="BF53" s="13">
        <f>SUM(BF51:BF52)</f>
        <v>672.58399799999995</v>
      </c>
      <c r="BG53" s="13"/>
      <c r="BH53" s="13">
        <f>SUM(BH51:BH52)</f>
        <v>759.22076400000003</v>
      </c>
      <c r="BI53" s="13"/>
      <c r="BJ53" s="13">
        <f>SUM(BJ51:BJ52)</f>
        <v>794.06327399999998</v>
      </c>
      <c r="BK53" s="13"/>
      <c r="BL53" s="13">
        <f>SUM(BL51:BL52)</f>
        <v>972.05660699999987</v>
      </c>
      <c r="BM53" s="13"/>
      <c r="BN53" s="13">
        <f>SUM(BN51:BN52)</f>
        <v>1220.3527349999999</v>
      </c>
      <c r="BO53" s="13"/>
      <c r="BP53" s="14">
        <f>SUM(BP51:BP52)</f>
        <v>1563.1437269999999</v>
      </c>
      <c r="BQ53" s="14"/>
      <c r="BR53" s="14">
        <f>SUM(BR51:BR52)</f>
        <v>1526.1513600000001</v>
      </c>
      <c r="BS53" s="14"/>
      <c r="BT53" s="13">
        <v>1624.3034520000001</v>
      </c>
      <c r="BU53" s="12"/>
      <c r="BV53" s="12">
        <f>SUM(BV51:BV52)</f>
        <v>760.87640099999999</v>
      </c>
      <c r="BW53" s="12"/>
      <c r="BX53" s="12">
        <f>SUM(BX51:BX52)</f>
        <v>776.98797300000001</v>
      </c>
      <c r="BY53" s="12"/>
      <c r="BZ53" s="12">
        <v>629.66099099999997</v>
      </c>
      <c r="CA53" s="12"/>
      <c r="CB53" s="12">
        <f>SUM(CB51:CB52)</f>
        <v>582.48769199999992</v>
      </c>
      <c r="CC53" s="12"/>
      <c r="CD53" s="33">
        <f>SUM(CD51:CD52)</f>
        <v>632.71235249999995</v>
      </c>
      <c r="CE53" s="33"/>
      <c r="CF53" s="33">
        <f>SUM(CF51:CF52)</f>
        <v>427.29396599999995</v>
      </c>
      <c r="CH53" s="24">
        <f>(CF53-CD53)/CD53</f>
        <v>-0.32466315172817811</v>
      </c>
      <c r="CI53" s="3">
        <f>CF53-CD53</f>
        <v>-205.4183865</v>
      </c>
      <c r="CJ53" s="24">
        <f>CF53/CK53</f>
        <v>0.20915025256975034</v>
      </c>
      <c r="CK53" s="38">
        <f>SUM(CK51:CK52)</f>
        <v>2043</v>
      </c>
    </row>
    <row r="54" spans="1:90" x14ac:dyDescent="0.25">
      <c r="A54" t="s">
        <v>119</v>
      </c>
      <c r="B54" t="s">
        <v>120</v>
      </c>
      <c r="C54" t="s">
        <v>189</v>
      </c>
      <c r="D54" t="str">
        <f>CONCATENATE(B54, " ", C54)</f>
        <v>Lower Pocomoke River (Mesohaline)</v>
      </c>
      <c r="E54">
        <v>39</v>
      </c>
      <c r="F54" s="3">
        <v>90.170439000000002</v>
      </c>
      <c r="G54" s="3"/>
      <c r="H54" s="3">
        <v>26.638457999999996</v>
      </c>
      <c r="I54" s="3"/>
      <c r="J54" s="3">
        <v>65.335883999999993</v>
      </c>
      <c r="K54" s="3"/>
      <c r="L54" s="3">
        <v>55.154951999999994</v>
      </c>
      <c r="M54" s="3"/>
      <c r="N54" s="3">
        <v>95.335037999999983</v>
      </c>
      <c r="O54" s="3"/>
      <c r="P54" s="3">
        <v>59.281688999999993</v>
      </c>
      <c r="Q54" s="3"/>
      <c r="R54" s="3">
        <v>57.922584000000001</v>
      </c>
      <c r="S54" s="3"/>
      <c r="T54" s="3">
        <v>70.080395999999993</v>
      </c>
      <c r="U54" s="3"/>
      <c r="V54" s="3">
        <v>68.350625999999991</v>
      </c>
      <c r="W54" s="3"/>
      <c r="X54" s="3">
        <v>50.731682999999997</v>
      </c>
      <c r="Y54" s="3"/>
      <c r="Z54" s="3">
        <v>52.683851999999995</v>
      </c>
      <c r="AA54" s="3"/>
      <c r="AB54" s="3">
        <v>37.684275</v>
      </c>
      <c r="AC54" s="3"/>
      <c r="AD54" s="3">
        <v>28.887158999999997</v>
      </c>
      <c r="AE54" s="3"/>
      <c r="AF54" s="3">
        <v>10.032665999999999</v>
      </c>
      <c r="AG54" s="3"/>
      <c r="AH54" s="3">
        <v>39.018668999999996</v>
      </c>
      <c r="AI54" s="3"/>
      <c r="AJ54" s="3">
        <v>60.739637999999992</v>
      </c>
      <c r="AK54" s="3"/>
      <c r="AL54" s="3">
        <v>58.515647999999999</v>
      </c>
      <c r="AM54" s="3"/>
      <c r="AN54" s="3">
        <v>97.559027999999984</v>
      </c>
      <c r="AO54" s="3"/>
      <c r="AP54" s="3">
        <v>58.243826999999996</v>
      </c>
      <c r="AQ54" s="3"/>
      <c r="AR54" s="3">
        <v>69.314354999999992</v>
      </c>
      <c r="AS54" s="3"/>
      <c r="AT54" s="3">
        <v>69.437910000000002</v>
      </c>
      <c r="AU54" s="3"/>
      <c r="AV54" s="3">
        <v>66.373745999999997</v>
      </c>
      <c r="AW54" s="3"/>
      <c r="AX54" s="3">
        <v>35.855660999999998</v>
      </c>
      <c r="AY54" s="3"/>
      <c r="AZ54" s="3">
        <v>80.211905999999999</v>
      </c>
      <c r="BA54" s="3"/>
      <c r="BB54" s="3">
        <v>119.84835</v>
      </c>
      <c r="BC54" s="3"/>
      <c r="BD54" s="3">
        <v>151.45371899999998</v>
      </c>
      <c r="BE54" s="3"/>
      <c r="BF54" s="3">
        <v>133.266423</v>
      </c>
      <c r="BG54" s="3"/>
      <c r="BH54" s="3">
        <v>163.26557699999998</v>
      </c>
      <c r="BI54" s="3"/>
      <c r="BJ54" s="3">
        <v>181.52700599999997</v>
      </c>
      <c r="BK54" s="3"/>
      <c r="BL54" s="3">
        <v>216.71546999999998</v>
      </c>
      <c r="BM54" s="3"/>
      <c r="BN54" s="3">
        <v>199.71430199999998</v>
      </c>
      <c r="BO54" s="3"/>
      <c r="BP54" s="4">
        <v>285.75800399999997</v>
      </c>
      <c r="BQ54" s="4"/>
      <c r="BR54" s="4">
        <v>309.13460999999995</v>
      </c>
      <c r="BS54" s="4"/>
      <c r="BT54" s="3">
        <v>366.98306099999996</v>
      </c>
      <c r="BV54">
        <v>75.195572999999996</v>
      </c>
      <c r="BX54">
        <v>20.905506000000003</v>
      </c>
      <c r="BZ54">
        <v>39.068090999999995</v>
      </c>
      <c r="CB54">
        <v>76.381700999999993</v>
      </c>
      <c r="CD54" s="35">
        <v>178.6816255</v>
      </c>
      <c r="CE54" s="35"/>
      <c r="CF54" s="35">
        <v>148.312421</v>
      </c>
      <c r="CH54" s="24">
        <f>(CF54-CD54)/CD54</f>
        <v>-0.16996266076614575</v>
      </c>
      <c r="CI54" s="3">
        <f>CF54-CD54</f>
        <v>-30.369204499999995</v>
      </c>
      <c r="CJ54" s="24">
        <f>CF54/CK54</f>
        <v>0.16911336488027365</v>
      </c>
      <c r="CK54" s="38">
        <v>877</v>
      </c>
    </row>
    <row r="55" spans="1:90" x14ac:dyDescent="0.25">
      <c r="A55" t="s">
        <v>121</v>
      </c>
      <c r="B55" t="s">
        <v>122</v>
      </c>
      <c r="C55" t="s">
        <v>188</v>
      </c>
      <c r="D55" t="str">
        <f>CONCATENATE(B55, " ", C55)</f>
        <v>Middle Pocomoke River (Oligohaline)</v>
      </c>
      <c r="E55">
        <v>40</v>
      </c>
      <c r="F55" s="3">
        <v>0</v>
      </c>
      <c r="G55" s="3"/>
      <c r="H55" s="3">
        <v>0</v>
      </c>
      <c r="I55" s="3"/>
      <c r="J55" s="3">
        <v>0</v>
      </c>
      <c r="K55" s="3"/>
      <c r="L55" s="3">
        <v>0</v>
      </c>
      <c r="M55" s="3"/>
      <c r="N55" s="3">
        <v>0</v>
      </c>
      <c r="O55" s="3"/>
      <c r="P55" s="3">
        <v>0</v>
      </c>
      <c r="Q55" s="3"/>
      <c r="R55" s="3">
        <v>0</v>
      </c>
      <c r="S55" s="3"/>
      <c r="T55" s="3">
        <v>0</v>
      </c>
      <c r="U55" s="3"/>
      <c r="V55" s="3">
        <v>0</v>
      </c>
      <c r="W55" s="3"/>
      <c r="X55" s="3">
        <v>0</v>
      </c>
      <c r="Y55" s="3"/>
      <c r="Z55" s="3">
        <v>0</v>
      </c>
      <c r="AA55" s="3"/>
      <c r="AB55" s="3">
        <v>0</v>
      </c>
      <c r="AC55" s="3"/>
      <c r="AD55" s="3">
        <v>0</v>
      </c>
      <c r="AE55" s="3"/>
      <c r="AF55" s="3">
        <v>0</v>
      </c>
      <c r="AG55" s="3"/>
      <c r="AH55" s="3">
        <v>0</v>
      </c>
      <c r="AI55" s="3"/>
      <c r="AJ55" s="3">
        <v>0</v>
      </c>
      <c r="AK55" s="3"/>
      <c r="AL55" s="3">
        <v>0</v>
      </c>
      <c r="AM55" s="3"/>
      <c r="AN55" s="3">
        <v>0</v>
      </c>
      <c r="AO55" s="3"/>
      <c r="AP55" s="3">
        <v>0</v>
      </c>
      <c r="AQ55" s="3"/>
      <c r="AR55" s="3">
        <v>0</v>
      </c>
      <c r="AS55" s="3"/>
      <c r="AT55" s="3">
        <v>0</v>
      </c>
      <c r="AU55" s="3"/>
      <c r="AV55" s="3">
        <v>0</v>
      </c>
      <c r="AW55" s="3"/>
      <c r="AX55" s="3">
        <v>0</v>
      </c>
      <c r="AY55" s="3"/>
      <c r="AZ55" s="3">
        <v>0</v>
      </c>
      <c r="BA55" s="3"/>
      <c r="BB55" s="3">
        <v>0</v>
      </c>
      <c r="BC55" s="3"/>
      <c r="BD55" s="3">
        <v>0</v>
      </c>
      <c r="BE55" s="3"/>
      <c r="BF55" s="3">
        <v>0</v>
      </c>
      <c r="BG55" s="3"/>
      <c r="BH55" s="3">
        <v>0</v>
      </c>
      <c r="BI55" s="3"/>
      <c r="BJ55" s="3">
        <v>0</v>
      </c>
      <c r="BK55" s="3"/>
      <c r="BL55" s="3">
        <v>0</v>
      </c>
      <c r="BM55" s="3"/>
      <c r="BN55" s="3">
        <v>0</v>
      </c>
      <c r="BO55" s="3"/>
      <c r="BP55" s="4">
        <v>0</v>
      </c>
      <c r="BQ55" s="4"/>
      <c r="BR55" s="4">
        <v>0</v>
      </c>
      <c r="BS55" s="4"/>
      <c r="BT55" s="3">
        <v>0</v>
      </c>
      <c r="BV55">
        <v>0</v>
      </c>
      <c r="BX55">
        <v>0</v>
      </c>
      <c r="BZ55">
        <v>0</v>
      </c>
      <c r="CB55">
        <v>0</v>
      </c>
      <c r="CD55" s="35">
        <v>0</v>
      </c>
      <c r="CE55" s="35"/>
      <c r="CF55" s="35">
        <v>0</v>
      </c>
      <c r="CH55" s="24">
        <v>0</v>
      </c>
      <c r="CI55" s="3">
        <f>CF55-CD55</f>
        <v>0</v>
      </c>
      <c r="CK55" s="38" t="s">
        <v>166</v>
      </c>
    </row>
    <row r="56" spans="1:90" x14ac:dyDescent="0.25">
      <c r="A56" t="s">
        <v>80</v>
      </c>
      <c r="B56" t="s">
        <v>81</v>
      </c>
      <c r="C56" t="s">
        <v>187</v>
      </c>
      <c r="D56" t="str">
        <f>CONCATENATE(B56, " ", C56)</f>
        <v>Upper Pocomoke River (Tidal Fresh)</v>
      </c>
      <c r="E56">
        <v>41</v>
      </c>
      <c r="F56" s="3">
        <v>0</v>
      </c>
      <c r="G56" s="3"/>
      <c r="H56" s="3">
        <v>0</v>
      </c>
      <c r="I56" s="3"/>
      <c r="J56" s="3">
        <v>0</v>
      </c>
      <c r="K56" s="3"/>
      <c r="L56" s="3">
        <v>0</v>
      </c>
      <c r="M56" s="3"/>
      <c r="N56" s="3">
        <v>0</v>
      </c>
      <c r="O56" s="3"/>
      <c r="P56" s="3">
        <v>0</v>
      </c>
      <c r="Q56" s="3"/>
      <c r="R56" s="3">
        <v>0</v>
      </c>
      <c r="S56" s="3"/>
      <c r="T56" s="3">
        <v>0</v>
      </c>
      <c r="U56" s="3"/>
      <c r="V56" s="3">
        <v>0</v>
      </c>
      <c r="W56" s="3"/>
      <c r="X56" s="3">
        <v>0</v>
      </c>
      <c r="Y56" s="3"/>
      <c r="Z56" s="3">
        <v>0</v>
      </c>
      <c r="AA56" s="3"/>
      <c r="AB56" s="3">
        <v>0</v>
      </c>
      <c r="AC56" s="3"/>
      <c r="AD56" s="3">
        <v>0</v>
      </c>
      <c r="AE56" s="3"/>
      <c r="AF56" s="3">
        <v>0</v>
      </c>
      <c r="AG56" s="3"/>
      <c r="AH56" s="3">
        <v>0</v>
      </c>
      <c r="AI56" s="3"/>
      <c r="AJ56" s="3">
        <v>0</v>
      </c>
      <c r="AK56" s="3"/>
      <c r="AL56" s="3">
        <v>0</v>
      </c>
      <c r="AM56" s="3"/>
      <c r="AN56" s="3">
        <v>0</v>
      </c>
      <c r="AO56" s="3"/>
      <c r="AP56" s="3">
        <v>0</v>
      </c>
      <c r="AQ56" s="3"/>
      <c r="AR56" s="3">
        <v>0</v>
      </c>
      <c r="AS56" s="3"/>
      <c r="AT56" s="3">
        <v>0</v>
      </c>
      <c r="AU56" s="3"/>
      <c r="AV56" s="3">
        <v>0</v>
      </c>
      <c r="AW56" s="3"/>
      <c r="AX56" s="3">
        <v>0</v>
      </c>
      <c r="AY56" s="3"/>
      <c r="AZ56" s="3">
        <v>0</v>
      </c>
      <c r="BA56" s="3"/>
      <c r="BB56" s="3">
        <v>0</v>
      </c>
      <c r="BC56" s="3"/>
      <c r="BD56" s="3">
        <v>0</v>
      </c>
      <c r="BE56" s="3"/>
      <c r="BF56" s="3">
        <v>0</v>
      </c>
      <c r="BG56" s="3"/>
      <c r="BH56" s="3">
        <v>0</v>
      </c>
      <c r="BI56" s="3"/>
      <c r="BJ56" s="3">
        <v>0</v>
      </c>
      <c r="BK56" s="3"/>
      <c r="BL56" s="3">
        <v>0</v>
      </c>
      <c r="BM56" s="3"/>
      <c r="BN56" s="3">
        <v>0</v>
      </c>
      <c r="BO56" s="3"/>
      <c r="BP56" s="4">
        <v>0</v>
      </c>
      <c r="BQ56" s="4"/>
      <c r="BR56" s="4">
        <v>0</v>
      </c>
      <c r="BS56" s="4"/>
      <c r="BT56" s="3">
        <v>0</v>
      </c>
      <c r="BU56" t="s">
        <v>107</v>
      </c>
      <c r="BV56">
        <v>0</v>
      </c>
      <c r="BX56">
        <v>0</v>
      </c>
      <c r="BZ56">
        <v>0</v>
      </c>
      <c r="CB56">
        <v>0</v>
      </c>
      <c r="CD56" s="35">
        <v>0</v>
      </c>
      <c r="CE56" s="35"/>
      <c r="CF56" s="35">
        <v>0</v>
      </c>
      <c r="CH56" s="24">
        <v>0</v>
      </c>
      <c r="CI56" s="3">
        <f>CF56-CD56</f>
        <v>0</v>
      </c>
      <c r="CK56" s="38" t="s">
        <v>166</v>
      </c>
      <c r="CL56" s="10" t="s">
        <v>210</v>
      </c>
    </row>
    <row r="57" spans="1:90" x14ac:dyDescent="0.25">
      <c r="A57" t="s">
        <v>82</v>
      </c>
      <c r="B57" t="s">
        <v>83</v>
      </c>
      <c r="C57" t="s">
        <v>189</v>
      </c>
      <c r="D57" t="str">
        <f>CONCATENATE(B57, " ", C57)</f>
        <v>Lower Patuxent River Segment 1 (Mesohaline)</v>
      </c>
      <c r="E57">
        <v>42.1</v>
      </c>
      <c r="F57" s="3">
        <v>25.526463</v>
      </c>
      <c r="G57" s="3"/>
      <c r="H57" s="3">
        <v>130.84474499999999</v>
      </c>
      <c r="I57" s="3"/>
      <c r="J57" s="3">
        <v>25.353485999999997</v>
      </c>
      <c r="K57" s="3"/>
      <c r="L57" s="3">
        <v>82.460606999999982</v>
      </c>
      <c r="M57" s="3"/>
      <c r="N57" s="3">
        <v>8.2534739999999989</v>
      </c>
      <c r="O57" s="3"/>
      <c r="P57" s="3">
        <v>0</v>
      </c>
      <c r="Q57" s="3"/>
      <c r="R57" s="3">
        <v>0</v>
      </c>
      <c r="S57" s="3"/>
      <c r="T57" s="3">
        <v>0</v>
      </c>
      <c r="U57" s="3"/>
      <c r="V57" s="3">
        <v>2.4463889999999999</v>
      </c>
      <c r="W57" s="3"/>
      <c r="X57" s="3">
        <v>0</v>
      </c>
      <c r="Y57" s="3"/>
      <c r="Z57" s="3">
        <v>0</v>
      </c>
      <c r="AA57" s="3"/>
      <c r="AB57" s="3">
        <v>0</v>
      </c>
      <c r="AC57" s="3"/>
      <c r="AD57" s="3">
        <v>2.5205219999999997</v>
      </c>
      <c r="AE57" s="3"/>
      <c r="AF57" s="3">
        <v>0</v>
      </c>
      <c r="AG57" s="3"/>
      <c r="AH57" s="3">
        <v>9.6372899999999984</v>
      </c>
      <c r="AI57" s="3"/>
      <c r="AJ57" s="3">
        <v>0</v>
      </c>
      <c r="AK57" s="3"/>
      <c r="AL57" s="3">
        <v>21.918656999999996</v>
      </c>
      <c r="AM57" s="3"/>
      <c r="AN57" s="3">
        <v>137.98622399999999</v>
      </c>
      <c r="AO57" s="3"/>
      <c r="AP57" s="3">
        <v>37.017077999999998</v>
      </c>
      <c r="AQ57" s="3"/>
      <c r="AR57" s="3">
        <v>41.638035000000002</v>
      </c>
      <c r="AS57" s="3"/>
      <c r="AT57" s="3">
        <v>0</v>
      </c>
      <c r="AU57" s="3"/>
      <c r="AV57" s="3">
        <v>0</v>
      </c>
      <c r="AW57" s="3"/>
      <c r="AX57" s="3">
        <v>36.794679000000002</v>
      </c>
      <c r="AY57" s="3"/>
      <c r="AZ57" s="3">
        <v>6.7213919999999998</v>
      </c>
      <c r="BA57" s="3"/>
      <c r="BB57" s="3">
        <v>39.636443999999997</v>
      </c>
      <c r="BC57" s="3"/>
      <c r="BD57" s="3">
        <v>17.890764000000001</v>
      </c>
      <c r="BE57" s="3"/>
      <c r="BF57" s="3">
        <v>21.572703000000001</v>
      </c>
      <c r="BG57" s="3"/>
      <c r="BH57" s="3">
        <v>11.021106</v>
      </c>
      <c r="BI57" s="3"/>
      <c r="BJ57" s="3">
        <v>16.506947999999998</v>
      </c>
      <c r="BK57" s="3"/>
      <c r="BL57" s="3">
        <v>7.8086760000000002</v>
      </c>
      <c r="BM57" s="3"/>
      <c r="BN57" s="3">
        <v>17.618942999999998</v>
      </c>
      <c r="BO57" s="3"/>
      <c r="BP57" s="4">
        <v>31.259415000000001</v>
      </c>
      <c r="BQ57" s="4"/>
      <c r="BR57" s="4">
        <v>130.10341499999998</v>
      </c>
      <c r="BS57" s="4"/>
      <c r="BT57" s="3">
        <v>34.274156999999995</v>
      </c>
      <c r="BV57">
        <v>34.867220999999994</v>
      </c>
      <c r="BX57">
        <v>20.979638999999999</v>
      </c>
      <c r="BZ57">
        <v>40.229508000000003</v>
      </c>
      <c r="CB57">
        <v>99.807728999999995</v>
      </c>
      <c r="CD57" s="35">
        <v>17.668007500000002</v>
      </c>
      <c r="CE57" s="35"/>
      <c r="CF57" s="35">
        <v>17.322060499999999</v>
      </c>
      <c r="CH57" s="24">
        <f>(CF57-CD57)/CD57</f>
        <v>-1.9580419580419717E-2</v>
      </c>
      <c r="CI57" s="3">
        <f>CF57-CD57</f>
        <v>-0.34594700000000245</v>
      </c>
      <c r="CJ57" s="24">
        <f>CF57/CK57</f>
        <v>1.1872556888279644E-2</v>
      </c>
      <c r="CK57" s="38">
        <v>1459</v>
      </c>
    </row>
    <row r="58" spans="1:90" x14ac:dyDescent="0.25">
      <c r="A58" t="s">
        <v>84</v>
      </c>
      <c r="B58" t="s">
        <v>85</v>
      </c>
      <c r="C58" t="s">
        <v>189</v>
      </c>
      <c r="D58" t="str">
        <f>CONCATENATE(B58, " ", C58)</f>
        <v>Lower Patuxent River Segment 2 (Mesohaline)</v>
      </c>
      <c r="E58">
        <v>42.2</v>
      </c>
      <c r="F58" s="3">
        <v>0</v>
      </c>
      <c r="G58" s="3"/>
      <c r="H58" s="3">
        <v>0</v>
      </c>
      <c r="I58" s="3"/>
      <c r="J58" s="3">
        <v>17.470676999999998</v>
      </c>
      <c r="K58" s="3"/>
      <c r="L58" s="3">
        <v>6.8202359999999986</v>
      </c>
      <c r="M58" s="3"/>
      <c r="N58" s="3">
        <v>0</v>
      </c>
      <c r="O58" s="3"/>
      <c r="P58" s="3">
        <v>0</v>
      </c>
      <c r="Q58" s="3"/>
      <c r="R58" s="3">
        <v>0</v>
      </c>
      <c r="S58" s="3"/>
      <c r="T58" s="3">
        <v>0</v>
      </c>
      <c r="U58" s="3"/>
      <c r="V58" s="3">
        <v>0</v>
      </c>
      <c r="W58" s="3"/>
      <c r="X58" s="3">
        <v>3.7560719999999996</v>
      </c>
      <c r="Y58" s="3"/>
      <c r="Z58" s="3">
        <v>0</v>
      </c>
      <c r="AA58" s="3"/>
      <c r="AB58" s="3">
        <v>0</v>
      </c>
      <c r="AC58" s="3"/>
      <c r="AD58" s="3">
        <v>0</v>
      </c>
      <c r="AE58" s="3"/>
      <c r="AF58" s="3">
        <v>0</v>
      </c>
      <c r="AG58" s="3"/>
      <c r="AH58" s="3">
        <v>0</v>
      </c>
      <c r="AI58" s="3"/>
      <c r="AJ58" s="3">
        <v>0</v>
      </c>
      <c r="AK58" s="3"/>
      <c r="AL58" s="3">
        <v>0</v>
      </c>
      <c r="AM58" s="3"/>
      <c r="AN58" s="3">
        <v>0</v>
      </c>
      <c r="AO58" s="3"/>
      <c r="AP58" s="3">
        <v>0</v>
      </c>
      <c r="AQ58" s="3"/>
      <c r="AR58" s="3">
        <v>0</v>
      </c>
      <c r="AS58" s="3"/>
      <c r="AT58" s="3">
        <v>0</v>
      </c>
      <c r="AU58" s="3"/>
      <c r="AV58" s="3">
        <v>0</v>
      </c>
      <c r="AW58" s="3"/>
      <c r="AX58" s="3">
        <v>0</v>
      </c>
      <c r="AY58" s="3"/>
      <c r="AZ58" s="3">
        <v>0</v>
      </c>
      <c r="BA58" s="3"/>
      <c r="BB58" s="3">
        <v>0</v>
      </c>
      <c r="BC58" s="3"/>
      <c r="BD58" s="3">
        <v>0</v>
      </c>
      <c r="BE58" s="3"/>
      <c r="BF58" s="9">
        <v>0</v>
      </c>
      <c r="BG58" s="9" t="s">
        <v>108</v>
      </c>
      <c r="BH58" s="3">
        <v>0</v>
      </c>
      <c r="BI58" s="3"/>
      <c r="BJ58" s="3">
        <v>0</v>
      </c>
      <c r="BK58" s="3"/>
      <c r="BL58" s="3">
        <v>0</v>
      </c>
      <c r="BM58" s="3"/>
      <c r="BN58" s="3">
        <v>0</v>
      </c>
      <c r="BO58" s="3"/>
      <c r="BP58" s="4">
        <v>0</v>
      </c>
      <c r="BQ58" s="4"/>
      <c r="BR58" s="4">
        <v>0</v>
      </c>
      <c r="BS58" s="4"/>
      <c r="BT58" s="3">
        <v>0</v>
      </c>
      <c r="BV58">
        <v>0</v>
      </c>
      <c r="BX58">
        <v>0</v>
      </c>
      <c r="BZ58">
        <v>0</v>
      </c>
      <c r="CB58">
        <v>0</v>
      </c>
      <c r="CD58" s="35">
        <v>0</v>
      </c>
      <c r="CE58" s="35"/>
      <c r="CF58" s="35">
        <v>0</v>
      </c>
      <c r="CH58" s="24">
        <v>0</v>
      </c>
      <c r="CI58" s="3">
        <f>CF58-CD58</f>
        <v>0</v>
      </c>
      <c r="CJ58" s="24">
        <f>CF58/CK58</f>
        <v>0</v>
      </c>
      <c r="CK58" s="38">
        <v>172</v>
      </c>
      <c r="CL58" t="s">
        <v>204</v>
      </c>
    </row>
    <row r="59" spans="1:90" x14ac:dyDescent="0.25">
      <c r="A59" t="s">
        <v>86</v>
      </c>
      <c r="B59" t="s">
        <v>87</v>
      </c>
      <c r="C59" t="s">
        <v>189</v>
      </c>
      <c r="D59" t="str">
        <f>CONCATENATE(B59, " ", C59)</f>
        <v>Lower Patuxent River Segment 3 (Mesohaline)</v>
      </c>
      <c r="E59">
        <v>42.3</v>
      </c>
      <c r="F59" s="3">
        <v>0</v>
      </c>
      <c r="G59" s="3"/>
      <c r="H59" s="3">
        <v>0</v>
      </c>
      <c r="I59" s="3"/>
      <c r="J59" s="3">
        <v>0</v>
      </c>
      <c r="K59" s="3"/>
      <c r="L59" s="3">
        <v>0</v>
      </c>
      <c r="M59" s="3"/>
      <c r="N59" s="3">
        <v>0</v>
      </c>
      <c r="O59" s="3"/>
      <c r="P59" s="3">
        <v>0</v>
      </c>
      <c r="Q59" s="3"/>
      <c r="R59" s="3">
        <v>0</v>
      </c>
      <c r="S59" s="3"/>
      <c r="T59" s="3">
        <v>0</v>
      </c>
      <c r="U59" s="3"/>
      <c r="V59" s="3">
        <v>0</v>
      </c>
      <c r="W59" s="3"/>
      <c r="X59" s="3">
        <v>0</v>
      </c>
      <c r="Y59" s="3"/>
      <c r="Z59" s="3">
        <v>0</v>
      </c>
      <c r="AA59" s="3"/>
      <c r="AB59" s="3">
        <v>0</v>
      </c>
      <c r="AC59" s="3"/>
      <c r="AD59" s="3">
        <v>0</v>
      </c>
      <c r="AE59" s="3"/>
      <c r="AF59" s="3">
        <v>0</v>
      </c>
      <c r="AG59" s="3"/>
      <c r="AH59" s="3">
        <v>0</v>
      </c>
      <c r="AI59" s="3"/>
      <c r="AJ59" s="3">
        <v>0</v>
      </c>
      <c r="AK59" s="3"/>
      <c r="AL59" s="3">
        <v>0</v>
      </c>
      <c r="AM59" s="3"/>
      <c r="AN59" s="3">
        <v>0</v>
      </c>
      <c r="AO59" s="3"/>
      <c r="AP59" s="3">
        <v>0</v>
      </c>
      <c r="AQ59" s="3"/>
      <c r="AR59" s="3">
        <v>0</v>
      </c>
      <c r="AS59" s="3"/>
      <c r="AT59" s="3">
        <v>0</v>
      </c>
      <c r="AU59" s="3"/>
      <c r="AV59" s="3">
        <v>0</v>
      </c>
      <c r="AW59" s="3"/>
      <c r="AX59" s="3">
        <v>0</v>
      </c>
      <c r="AY59" s="3"/>
      <c r="AZ59" s="3">
        <v>0</v>
      </c>
      <c r="BA59" s="3"/>
      <c r="BB59" s="3">
        <v>0</v>
      </c>
      <c r="BC59" s="3"/>
      <c r="BD59" s="3">
        <v>0</v>
      </c>
      <c r="BE59" s="3"/>
      <c r="BF59" s="3">
        <v>0</v>
      </c>
      <c r="BG59" s="3"/>
      <c r="BH59" s="3">
        <v>0</v>
      </c>
      <c r="BI59" s="3"/>
      <c r="BJ59" s="3">
        <v>0</v>
      </c>
      <c r="BK59" s="3"/>
      <c r="BL59" s="3">
        <v>0</v>
      </c>
      <c r="BM59" s="3"/>
      <c r="BN59" s="3">
        <v>0</v>
      </c>
      <c r="BO59" s="3"/>
      <c r="BP59" s="4">
        <v>0</v>
      </c>
      <c r="BQ59" s="4"/>
      <c r="BR59" s="4">
        <v>0</v>
      </c>
      <c r="BS59" s="4"/>
      <c r="BT59" s="3">
        <v>0</v>
      </c>
      <c r="BV59">
        <v>0</v>
      </c>
      <c r="BX59">
        <v>0</v>
      </c>
      <c r="BZ59">
        <v>0</v>
      </c>
      <c r="CB59">
        <v>0</v>
      </c>
      <c r="CD59" s="35">
        <v>0</v>
      </c>
      <c r="CE59" s="35"/>
      <c r="CF59" s="35">
        <v>0</v>
      </c>
      <c r="CH59" s="24">
        <v>0</v>
      </c>
      <c r="CI59" s="3">
        <f>CF59-CD59</f>
        <v>0</v>
      </c>
      <c r="CK59" s="38">
        <v>0</v>
      </c>
    </row>
    <row r="60" spans="1:90" x14ac:dyDescent="0.25">
      <c r="A60" t="s">
        <v>88</v>
      </c>
      <c r="B60" t="s">
        <v>89</v>
      </c>
      <c r="C60" t="s">
        <v>189</v>
      </c>
      <c r="D60" t="str">
        <f>CONCATENATE(B60, " ", C60)</f>
        <v>Lower Patuxent River Segment 4 (Mesohaline)</v>
      </c>
      <c r="E60">
        <v>42.4</v>
      </c>
      <c r="F60" s="3">
        <v>0</v>
      </c>
      <c r="G60" s="3"/>
      <c r="H60" s="3">
        <v>0</v>
      </c>
      <c r="I60" s="3"/>
      <c r="J60" s="3">
        <v>0</v>
      </c>
      <c r="K60" s="3"/>
      <c r="L60" s="3">
        <v>0</v>
      </c>
      <c r="M60" s="3"/>
      <c r="N60" s="3">
        <v>0</v>
      </c>
      <c r="O60" s="3"/>
      <c r="P60" s="3">
        <v>0</v>
      </c>
      <c r="Q60" s="3"/>
      <c r="R60" s="3">
        <v>0</v>
      </c>
      <c r="S60" s="3"/>
      <c r="T60" s="3">
        <v>0</v>
      </c>
      <c r="U60" s="3"/>
      <c r="V60" s="3">
        <v>0</v>
      </c>
      <c r="W60" s="3"/>
      <c r="X60" s="3">
        <v>0</v>
      </c>
      <c r="Y60" s="3"/>
      <c r="Z60" s="3">
        <v>0</v>
      </c>
      <c r="AA60" s="3"/>
      <c r="AB60" s="3">
        <v>0</v>
      </c>
      <c r="AC60" s="3"/>
      <c r="AD60" s="3">
        <v>0</v>
      </c>
      <c r="AE60" s="3"/>
      <c r="AF60" s="3">
        <v>0</v>
      </c>
      <c r="AG60" s="3"/>
      <c r="AH60" s="3">
        <v>0</v>
      </c>
      <c r="AI60" s="3"/>
      <c r="AJ60" s="3">
        <v>0</v>
      </c>
      <c r="AK60" s="3"/>
      <c r="AL60" s="3">
        <v>0</v>
      </c>
      <c r="AM60" s="3"/>
      <c r="AN60" s="3">
        <v>0</v>
      </c>
      <c r="AO60" s="3"/>
      <c r="AP60" s="3">
        <v>0</v>
      </c>
      <c r="AQ60" s="3"/>
      <c r="AR60" s="3">
        <v>0</v>
      </c>
      <c r="AS60" s="3"/>
      <c r="AT60" s="3">
        <v>0</v>
      </c>
      <c r="AU60" s="3"/>
      <c r="AV60" s="3">
        <v>0</v>
      </c>
      <c r="AW60" s="3"/>
      <c r="AX60" s="3">
        <v>0</v>
      </c>
      <c r="AY60" s="3"/>
      <c r="AZ60" s="3">
        <v>0</v>
      </c>
      <c r="BA60" s="3"/>
      <c r="BB60" s="3">
        <v>0</v>
      </c>
      <c r="BC60" s="3"/>
      <c r="BD60" s="3">
        <v>0</v>
      </c>
      <c r="BE60" s="3"/>
      <c r="BF60" s="3">
        <v>0</v>
      </c>
      <c r="BG60" s="3"/>
      <c r="BH60" s="3">
        <v>0</v>
      </c>
      <c r="BI60" s="3"/>
      <c r="BJ60" s="3">
        <v>0</v>
      </c>
      <c r="BK60" s="3"/>
      <c r="BL60" s="3">
        <v>0</v>
      </c>
      <c r="BM60" s="3"/>
      <c r="BN60" s="3">
        <v>0</v>
      </c>
      <c r="BO60" s="3"/>
      <c r="BP60" s="4">
        <v>0</v>
      </c>
      <c r="BQ60" s="4"/>
      <c r="BR60" s="4">
        <v>0</v>
      </c>
      <c r="BS60" s="4"/>
      <c r="BT60" s="3">
        <v>0</v>
      </c>
      <c r="BV60">
        <v>0</v>
      </c>
      <c r="BX60">
        <v>0</v>
      </c>
      <c r="BZ60">
        <v>0</v>
      </c>
      <c r="CB60">
        <v>1.7297699999999998</v>
      </c>
      <c r="CD60" s="35">
        <v>0</v>
      </c>
      <c r="CE60" s="35"/>
      <c r="CF60" s="35">
        <v>0</v>
      </c>
      <c r="CH60" s="24">
        <v>0</v>
      </c>
      <c r="CI60" s="3">
        <f>CF60-CD60</f>
        <v>0</v>
      </c>
      <c r="CJ60" s="24">
        <f>CF60/CK60</f>
        <v>0</v>
      </c>
      <c r="CK60" s="38">
        <v>1</v>
      </c>
    </row>
    <row r="61" spans="1:90" x14ac:dyDescent="0.25">
      <c r="A61" t="s">
        <v>90</v>
      </c>
      <c r="B61" t="s">
        <v>91</v>
      </c>
      <c r="C61" t="s">
        <v>189</v>
      </c>
      <c r="D61" t="str">
        <f>CONCATENATE(B61, " ", C61)</f>
        <v>Lower Patuxent River Segment 5 (Mesohaline)</v>
      </c>
      <c r="E61">
        <v>42.5</v>
      </c>
      <c r="F61" s="3">
        <v>9.8596889999999995</v>
      </c>
      <c r="G61" s="3"/>
      <c r="H61" s="3">
        <v>1.9274579999999999</v>
      </c>
      <c r="I61" s="3"/>
      <c r="J61" s="3">
        <v>0</v>
      </c>
      <c r="K61" s="3"/>
      <c r="L61" s="3">
        <v>1.0378619999999998</v>
      </c>
      <c r="M61" s="3"/>
      <c r="N61" s="3">
        <v>0.123555</v>
      </c>
      <c r="O61" s="3"/>
      <c r="P61" s="3">
        <v>0</v>
      </c>
      <c r="Q61" s="3"/>
      <c r="R61" s="3">
        <v>0</v>
      </c>
      <c r="S61" s="3"/>
      <c r="T61" s="3">
        <v>0</v>
      </c>
      <c r="U61" s="3"/>
      <c r="V61" s="3">
        <v>0</v>
      </c>
      <c r="W61" s="3"/>
      <c r="X61" s="3">
        <v>0</v>
      </c>
      <c r="Y61" s="3"/>
      <c r="Z61" s="3">
        <v>0</v>
      </c>
      <c r="AA61" s="3"/>
      <c r="AB61" s="3">
        <v>0</v>
      </c>
      <c r="AC61" s="3"/>
      <c r="AD61" s="3">
        <v>0</v>
      </c>
      <c r="AE61" s="3"/>
      <c r="AF61" s="3">
        <v>0</v>
      </c>
      <c r="AG61" s="3"/>
      <c r="AH61" s="3">
        <v>0</v>
      </c>
      <c r="AI61" s="3"/>
      <c r="AJ61" s="3">
        <v>0</v>
      </c>
      <c r="AK61" s="3"/>
      <c r="AL61" s="3">
        <v>0</v>
      </c>
      <c r="AM61" s="3"/>
      <c r="AN61" s="3">
        <v>2.6440769999999998</v>
      </c>
      <c r="AO61" s="3"/>
      <c r="AP61" s="3">
        <v>0</v>
      </c>
      <c r="AQ61" s="3"/>
      <c r="AR61" s="3">
        <v>0</v>
      </c>
      <c r="AS61" s="3"/>
      <c r="AT61" s="3">
        <v>0</v>
      </c>
      <c r="AU61" s="3"/>
      <c r="AV61" s="3">
        <v>0</v>
      </c>
      <c r="AW61" s="3"/>
      <c r="AX61" s="3">
        <v>0</v>
      </c>
      <c r="AY61" s="3"/>
      <c r="AZ61" s="3">
        <v>0</v>
      </c>
      <c r="BA61" s="3"/>
      <c r="BB61" s="3">
        <v>0</v>
      </c>
      <c r="BC61" s="3"/>
      <c r="BD61" s="3">
        <v>0</v>
      </c>
      <c r="BE61" s="3"/>
      <c r="BF61" s="3">
        <v>0</v>
      </c>
      <c r="BG61" s="3"/>
      <c r="BH61" s="3">
        <v>0</v>
      </c>
      <c r="BI61" s="3"/>
      <c r="BJ61" s="3">
        <v>0</v>
      </c>
      <c r="BK61" s="3"/>
      <c r="BL61" s="3">
        <v>0</v>
      </c>
      <c r="BM61" s="3"/>
      <c r="BN61" s="3">
        <v>0</v>
      </c>
      <c r="BO61" s="3"/>
      <c r="BP61" s="4">
        <v>0</v>
      </c>
      <c r="BQ61" s="4"/>
      <c r="BR61" s="4">
        <v>0</v>
      </c>
      <c r="BS61" s="4"/>
      <c r="BT61" s="3">
        <v>0</v>
      </c>
      <c r="BV61">
        <v>0</v>
      </c>
      <c r="BX61">
        <v>0</v>
      </c>
      <c r="BZ61">
        <v>0</v>
      </c>
      <c r="CB61">
        <v>0</v>
      </c>
      <c r="CD61" s="35">
        <v>0</v>
      </c>
      <c r="CE61" s="35"/>
      <c r="CF61" s="35">
        <v>0</v>
      </c>
      <c r="CH61" s="24">
        <v>0</v>
      </c>
      <c r="CI61" s="3">
        <f>CF61-CD61</f>
        <v>0</v>
      </c>
      <c r="CJ61" s="24">
        <f>CF61/CK61</f>
        <v>0</v>
      </c>
      <c r="CK61" s="38">
        <v>2</v>
      </c>
    </row>
    <row r="62" spans="1:90" x14ac:dyDescent="0.25">
      <c r="A62" t="s">
        <v>92</v>
      </c>
      <c r="B62" t="s">
        <v>93</v>
      </c>
      <c r="C62" t="s">
        <v>189</v>
      </c>
      <c r="D62" t="str">
        <f>CONCATENATE(B62, " ", C62)</f>
        <v>Lower Patuxent River Segment 6 (Mesohaline)</v>
      </c>
      <c r="E62">
        <v>42.6</v>
      </c>
      <c r="F62" s="3">
        <v>0</v>
      </c>
      <c r="G62" s="3"/>
      <c r="H62" s="3">
        <v>0</v>
      </c>
      <c r="I62" s="3"/>
      <c r="J62" s="3">
        <v>0</v>
      </c>
      <c r="K62" s="3"/>
      <c r="L62" s="3">
        <v>0</v>
      </c>
      <c r="M62" s="3"/>
      <c r="N62" s="3">
        <v>0</v>
      </c>
      <c r="O62" s="3"/>
      <c r="P62" s="3">
        <v>0</v>
      </c>
      <c r="Q62" s="3"/>
      <c r="R62" s="3">
        <v>0</v>
      </c>
      <c r="S62" s="3"/>
      <c r="T62" s="3">
        <v>0</v>
      </c>
      <c r="U62" s="3"/>
      <c r="V62" s="3">
        <v>0</v>
      </c>
      <c r="W62" s="3"/>
      <c r="X62" s="3">
        <v>0</v>
      </c>
      <c r="Y62" s="3"/>
      <c r="Z62" s="3">
        <v>0</v>
      </c>
      <c r="AA62" s="3"/>
      <c r="AB62" s="3">
        <v>0</v>
      </c>
      <c r="AC62" s="3"/>
      <c r="AD62" s="3">
        <v>0</v>
      </c>
      <c r="AE62" s="3"/>
      <c r="AF62" s="3">
        <v>0</v>
      </c>
      <c r="AG62" s="3"/>
      <c r="AH62" s="3">
        <v>0</v>
      </c>
      <c r="AI62" s="3"/>
      <c r="AJ62" s="3">
        <v>0</v>
      </c>
      <c r="AK62" s="3"/>
      <c r="AL62" s="3">
        <v>0</v>
      </c>
      <c r="AM62" s="3"/>
      <c r="AN62" s="3">
        <v>0</v>
      </c>
      <c r="AO62" s="3"/>
      <c r="AP62" s="3">
        <v>0</v>
      </c>
      <c r="AQ62" s="3"/>
      <c r="AR62" s="3">
        <v>0</v>
      </c>
      <c r="AS62" s="3"/>
      <c r="AT62" s="3">
        <v>0</v>
      </c>
      <c r="AU62" s="3"/>
      <c r="AV62" s="3">
        <v>0</v>
      </c>
      <c r="AW62" s="3"/>
      <c r="AX62" s="3">
        <v>0</v>
      </c>
      <c r="AY62" s="3"/>
      <c r="AZ62" s="3">
        <v>0</v>
      </c>
      <c r="BA62" s="3"/>
      <c r="BB62" s="3">
        <v>0</v>
      </c>
      <c r="BC62" s="3"/>
      <c r="BD62" s="3">
        <v>0</v>
      </c>
      <c r="BE62" s="3"/>
      <c r="BF62" s="3">
        <v>0</v>
      </c>
      <c r="BG62" s="3"/>
      <c r="BH62" s="3">
        <v>0</v>
      </c>
      <c r="BI62" s="3"/>
      <c r="BJ62" s="3">
        <v>0</v>
      </c>
      <c r="BK62" s="3"/>
      <c r="BL62" s="3">
        <v>0</v>
      </c>
      <c r="BM62" s="3"/>
      <c r="BN62" s="3">
        <v>0</v>
      </c>
      <c r="BO62" s="3"/>
      <c r="BP62" s="4">
        <v>0</v>
      </c>
      <c r="BQ62" s="4"/>
      <c r="BR62" s="4">
        <v>0</v>
      </c>
      <c r="BS62" s="4"/>
      <c r="BT62" s="3">
        <v>0</v>
      </c>
      <c r="BV62">
        <v>0</v>
      </c>
      <c r="BX62">
        <v>0</v>
      </c>
      <c r="BZ62">
        <v>0</v>
      </c>
      <c r="CB62">
        <v>0</v>
      </c>
      <c r="CD62" s="35">
        <v>0</v>
      </c>
      <c r="CE62" s="35"/>
      <c r="CF62" s="35">
        <v>0</v>
      </c>
      <c r="CH62" s="24">
        <v>0</v>
      </c>
      <c r="CI62" s="3">
        <f>CF62-CD62</f>
        <v>0</v>
      </c>
      <c r="CK62" s="38">
        <v>0</v>
      </c>
    </row>
    <row r="63" spans="1:90" x14ac:dyDescent="0.25">
      <c r="A63" s="12" t="s">
        <v>185</v>
      </c>
      <c r="B63" s="12" t="s">
        <v>176</v>
      </c>
      <c r="C63" s="12" t="s">
        <v>189</v>
      </c>
      <c r="D63" t="str">
        <f>CONCATENATE(B63, " ", C63)</f>
        <v>Lower Patuxent River (Mesohaline)</v>
      </c>
      <c r="E63" s="12">
        <v>42</v>
      </c>
      <c r="F63" s="13">
        <f>SUM(F57:F62)</f>
        <v>35.386151999999996</v>
      </c>
      <c r="G63" s="13"/>
      <c r="H63" s="13">
        <f>SUM(H57:H62)</f>
        <v>132.77220299999999</v>
      </c>
      <c r="I63" s="13"/>
      <c r="J63" s="13">
        <f>SUM(J57:J62)</f>
        <v>42.824162999999999</v>
      </c>
      <c r="K63" s="13"/>
      <c r="L63" s="13">
        <f>SUM(L57:L62)</f>
        <v>90.31870499999998</v>
      </c>
      <c r="M63" s="13"/>
      <c r="N63" s="13">
        <f>SUM(N57:N62)</f>
        <v>8.3770289999999985</v>
      </c>
      <c r="O63" s="13"/>
      <c r="P63" s="13">
        <f>SUM(P57:P62)</f>
        <v>0</v>
      </c>
      <c r="Q63" s="13"/>
      <c r="R63" s="13">
        <f>SUM(R57:R62)</f>
        <v>0</v>
      </c>
      <c r="S63" s="13"/>
      <c r="T63" s="13">
        <f>SUM(T57:T62)</f>
        <v>0</v>
      </c>
      <c r="U63" s="13"/>
      <c r="V63" s="13">
        <f>SUM(V57:V62)</f>
        <v>2.4463889999999999</v>
      </c>
      <c r="W63" s="13"/>
      <c r="X63" s="13">
        <f>SUM(X57:X62)</f>
        <v>3.7560719999999996</v>
      </c>
      <c r="Y63" s="13"/>
      <c r="Z63" s="13">
        <f>SUM(Z57:Z62)</f>
        <v>0</v>
      </c>
      <c r="AA63" s="13"/>
      <c r="AB63" s="13">
        <f>SUM(AB57:AB62)</f>
        <v>0</v>
      </c>
      <c r="AC63" s="13"/>
      <c r="AD63" s="13">
        <f>SUM(AD57:AD62)</f>
        <v>2.5205219999999997</v>
      </c>
      <c r="AE63" s="13"/>
      <c r="AF63" s="13">
        <f>SUM(AF57:AF62)</f>
        <v>0</v>
      </c>
      <c r="AG63" s="13"/>
      <c r="AH63" s="13">
        <f>SUM(AH57:AH62)</f>
        <v>9.6372899999999984</v>
      </c>
      <c r="AI63" s="13"/>
      <c r="AJ63" s="13">
        <f>SUM(AJ57:AJ62)</f>
        <v>0</v>
      </c>
      <c r="AK63" s="13"/>
      <c r="AL63" s="13">
        <f>SUM(AL57:AL62)</f>
        <v>21.918656999999996</v>
      </c>
      <c r="AM63" s="13"/>
      <c r="AN63" s="13">
        <f>SUM(AN57:AN62)</f>
        <v>140.630301</v>
      </c>
      <c r="AO63" s="13"/>
      <c r="AP63" s="13">
        <f>SUM(AP57:AP62)</f>
        <v>37.017077999999998</v>
      </c>
      <c r="AQ63" s="13"/>
      <c r="AR63" s="13">
        <f>SUM(AR57:AR62)</f>
        <v>41.638035000000002</v>
      </c>
      <c r="AS63" s="13"/>
      <c r="AT63" s="13">
        <f>SUM(AT57:AT62)</f>
        <v>0</v>
      </c>
      <c r="AU63" s="13"/>
      <c r="AV63" s="13">
        <f>SUM(AV57:AV62)</f>
        <v>0</v>
      </c>
      <c r="AW63" s="13"/>
      <c r="AX63" s="13">
        <f>SUM(AX57:AX62)</f>
        <v>36.794679000000002</v>
      </c>
      <c r="AY63" s="13"/>
      <c r="AZ63" s="13">
        <f>SUM(AZ57:AZ62)</f>
        <v>6.7213919999999998</v>
      </c>
      <c r="BA63" s="13"/>
      <c r="BB63" s="13">
        <f>SUM(BB57:BB62)</f>
        <v>39.636443999999997</v>
      </c>
      <c r="BC63" s="13"/>
      <c r="BD63" s="13">
        <f>SUM(BD57:BD62)</f>
        <v>17.890764000000001</v>
      </c>
      <c r="BE63" s="13"/>
      <c r="BF63" s="13">
        <f>SUM(BF57:BF62)</f>
        <v>21.572703000000001</v>
      </c>
      <c r="BG63" s="18" t="s">
        <v>108</v>
      </c>
      <c r="BH63" s="13">
        <f>SUM(BH57:BH62)</f>
        <v>11.021106</v>
      </c>
      <c r="BI63" s="13"/>
      <c r="BJ63" s="13">
        <f>SUM(BJ57:BJ62)</f>
        <v>16.506947999999998</v>
      </c>
      <c r="BK63" s="13"/>
      <c r="BL63" s="13">
        <f>SUM(BL57:BL62)</f>
        <v>7.8086760000000002</v>
      </c>
      <c r="BM63" s="13"/>
      <c r="BN63" s="13">
        <f>SUM(BN57:BN62)</f>
        <v>17.618942999999998</v>
      </c>
      <c r="BO63" s="13"/>
      <c r="BP63" s="14">
        <f>SUM(BP57:BP62)</f>
        <v>31.259415000000001</v>
      </c>
      <c r="BQ63" s="14"/>
      <c r="BR63" s="14">
        <f>SUM(BR57:BR62)</f>
        <v>130.10341499999998</v>
      </c>
      <c r="BS63" s="14"/>
      <c r="BT63" s="13">
        <v>34.274156999999995</v>
      </c>
      <c r="BU63" s="12"/>
      <c r="BV63" s="12">
        <f>SUM(BV57:BV62)</f>
        <v>34.867220999999994</v>
      </c>
      <c r="BW63" s="12"/>
      <c r="BX63" s="12">
        <f>SUM(BX57:BX62)</f>
        <v>20.979638999999999</v>
      </c>
      <c r="BY63" s="12"/>
      <c r="BZ63" s="12">
        <v>40.229508000000003</v>
      </c>
      <c r="CA63" s="12"/>
      <c r="CB63" s="12">
        <f>SUM(CB57:CB62)</f>
        <v>101.537499</v>
      </c>
      <c r="CC63" s="12"/>
      <c r="CD63" s="33">
        <f>SUM(CD57:CD62)</f>
        <v>17.668007500000002</v>
      </c>
      <c r="CE63" s="33"/>
      <c r="CF63" s="33">
        <f>SUM(CF57:CF62)</f>
        <v>17.322060499999999</v>
      </c>
      <c r="CH63" s="24">
        <f>(CF63-CD63)/CD63</f>
        <v>-1.9580419580419717E-2</v>
      </c>
      <c r="CI63" s="3">
        <f>CF63-CD63</f>
        <v>-0.34594700000000245</v>
      </c>
      <c r="CJ63" s="24">
        <f>CF63/CK63</f>
        <v>1.0601016217870256E-2</v>
      </c>
      <c r="CK63" s="38">
        <f>SUM(CK57:CK62)</f>
        <v>1634</v>
      </c>
      <c r="CL63" t="s">
        <v>204</v>
      </c>
    </row>
    <row r="64" spans="1:90" x14ac:dyDescent="0.25">
      <c r="A64" t="s">
        <v>94</v>
      </c>
      <c r="B64" t="s">
        <v>95</v>
      </c>
      <c r="C64" t="s">
        <v>188</v>
      </c>
      <c r="D64" t="str">
        <f>CONCATENATE(B64, " ", C64)</f>
        <v>Middle Patuxent River (Oligohaline)</v>
      </c>
      <c r="E64">
        <v>43</v>
      </c>
      <c r="F64" s="3">
        <v>0</v>
      </c>
      <c r="G64" s="3"/>
      <c r="H64" s="3">
        <v>0</v>
      </c>
      <c r="I64" s="3"/>
      <c r="J64" s="3">
        <v>0</v>
      </c>
      <c r="K64" s="3"/>
      <c r="L64" s="3">
        <v>0</v>
      </c>
      <c r="M64" s="3"/>
      <c r="N64" s="3">
        <v>0</v>
      </c>
      <c r="O64" s="3"/>
      <c r="P64" s="3">
        <v>0</v>
      </c>
      <c r="Q64" s="3"/>
      <c r="R64" s="3">
        <v>0</v>
      </c>
      <c r="S64" s="3"/>
      <c r="T64" s="3">
        <v>0</v>
      </c>
      <c r="U64" s="3"/>
      <c r="V64" s="3">
        <v>0</v>
      </c>
      <c r="W64" s="3"/>
      <c r="X64" s="3">
        <v>53.029806000000001</v>
      </c>
      <c r="Y64" s="3"/>
      <c r="Z64" s="3">
        <v>73.960022999999993</v>
      </c>
      <c r="AA64" s="3"/>
      <c r="AB64" s="3">
        <v>89.009022000000002</v>
      </c>
      <c r="AC64" s="3"/>
      <c r="AD64" s="3">
        <v>99.041687999999994</v>
      </c>
      <c r="AE64" s="3"/>
      <c r="AF64" s="3">
        <v>106.875075</v>
      </c>
      <c r="AG64" s="3"/>
      <c r="AH64" s="9">
        <v>0</v>
      </c>
      <c r="AI64" s="9" t="s">
        <v>108</v>
      </c>
      <c r="AJ64" s="3">
        <v>115.47450299999998</v>
      </c>
      <c r="AK64" s="3"/>
      <c r="AL64" s="3">
        <v>104.453397</v>
      </c>
      <c r="AM64" s="3"/>
      <c r="AN64" s="3">
        <v>21.029060999999999</v>
      </c>
      <c r="AO64" s="3"/>
      <c r="AP64" s="3">
        <v>106.28201099999998</v>
      </c>
      <c r="AQ64" s="3"/>
      <c r="AR64" s="3">
        <v>105.59010299999998</v>
      </c>
      <c r="AS64" s="3"/>
      <c r="AT64" s="3">
        <v>125.08708199999998</v>
      </c>
      <c r="AU64" s="3"/>
      <c r="AV64" s="3">
        <v>71.192390999999986</v>
      </c>
      <c r="AW64" s="3"/>
      <c r="AX64" s="3">
        <v>27.750453</v>
      </c>
      <c r="AY64" s="3"/>
      <c r="AZ64" s="3">
        <v>101.735187</v>
      </c>
      <c r="BA64" s="3"/>
      <c r="BB64" s="3">
        <v>91.999052999999989</v>
      </c>
      <c r="BC64" s="3"/>
      <c r="BD64" s="3">
        <v>66.151347000000001</v>
      </c>
      <c r="BE64" s="3"/>
      <c r="BF64" s="9">
        <v>0</v>
      </c>
      <c r="BG64" s="9" t="s">
        <v>108</v>
      </c>
      <c r="BH64" s="3">
        <v>16.086860999999999</v>
      </c>
      <c r="BI64" s="3"/>
      <c r="BJ64" s="3">
        <v>17.618942999999998</v>
      </c>
      <c r="BK64" s="3"/>
      <c r="BL64" s="3">
        <v>38.252628000000001</v>
      </c>
      <c r="BM64" s="3"/>
      <c r="BN64" s="3">
        <v>32.445543000000001</v>
      </c>
      <c r="BO64" s="3"/>
      <c r="BP64" s="4">
        <v>0</v>
      </c>
      <c r="BQ64" s="4"/>
      <c r="BR64" s="4">
        <v>0</v>
      </c>
      <c r="BS64" s="4"/>
      <c r="BT64" s="3">
        <v>1.4826599999999999</v>
      </c>
      <c r="BV64">
        <v>21.572703000000001</v>
      </c>
      <c r="BX64">
        <v>9.2419139999999995</v>
      </c>
      <c r="BZ64">
        <v>0</v>
      </c>
      <c r="CB64">
        <v>0</v>
      </c>
      <c r="CD64" s="35">
        <v>0</v>
      </c>
      <c r="CE64" s="35"/>
      <c r="CF64" s="35">
        <v>0</v>
      </c>
      <c r="CH64" s="24">
        <v>0</v>
      </c>
      <c r="CI64" s="3">
        <f>CF64-CD64</f>
        <v>0</v>
      </c>
      <c r="CJ64" s="24">
        <f>CF64/CK64</f>
        <v>0</v>
      </c>
      <c r="CK64" s="38">
        <v>115</v>
      </c>
      <c r="CL64" t="s">
        <v>205</v>
      </c>
    </row>
    <row r="65" spans="1:90" x14ac:dyDescent="0.25">
      <c r="A65" t="s">
        <v>96</v>
      </c>
      <c r="B65" t="s">
        <v>97</v>
      </c>
      <c r="C65" t="s">
        <v>187</v>
      </c>
      <c r="D65" t="str">
        <f>CONCATENATE(B65, " ", C65)</f>
        <v>Upper Patuxent River (Tidal Fresh)</v>
      </c>
      <c r="E65">
        <v>44</v>
      </c>
      <c r="F65" s="3">
        <v>0</v>
      </c>
      <c r="G65" s="3"/>
      <c r="H65" s="3">
        <v>13.937003999999998</v>
      </c>
      <c r="I65" s="3"/>
      <c r="J65" s="3">
        <v>0</v>
      </c>
      <c r="K65" s="3"/>
      <c r="L65" s="3">
        <v>0</v>
      </c>
      <c r="M65" s="3"/>
      <c r="N65" s="3">
        <v>0</v>
      </c>
      <c r="O65" s="3"/>
      <c r="P65" s="3">
        <v>0</v>
      </c>
      <c r="Q65" s="3"/>
      <c r="R65" s="3">
        <v>0</v>
      </c>
      <c r="S65" s="3"/>
      <c r="T65" s="3">
        <v>0</v>
      </c>
      <c r="U65" s="3"/>
      <c r="V65" s="3">
        <v>21.696257999999997</v>
      </c>
      <c r="W65" s="3"/>
      <c r="X65" s="3">
        <v>132.77220299999999</v>
      </c>
      <c r="Y65" s="3"/>
      <c r="Z65" s="3">
        <v>111.69372</v>
      </c>
      <c r="AA65" s="3"/>
      <c r="AB65" s="3">
        <v>157.97742299999999</v>
      </c>
      <c r="AC65" s="3"/>
      <c r="AD65" s="3">
        <v>131.36367599999997</v>
      </c>
      <c r="AE65" s="3"/>
      <c r="AF65" s="3">
        <v>151.47842999999997</v>
      </c>
      <c r="AG65" s="3"/>
      <c r="AH65" s="7">
        <v>0</v>
      </c>
      <c r="AI65" s="7" t="s">
        <v>107</v>
      </c>
      <c r="AJ65" s="3">
        <v>92.172029999999992</v>
      </c>
      <c r="AK65" s="3"/>
      <c r="AL65" s="3">
        <v>205.20014399999999</v>
      </c>
      <c r="AM65" s="3"/>
      <c r="AN65" s="3">
        <v>170.67887699999997</v>
      </c>
      <c r="AO65" s="3"/>
      <c r="AP65" s="3">
        <v>216.987291</v>
      </c>
      <c r="AQ65" s="3"/>
      <c r="AR65" s="3">
        <v>219.77963399999999</v>
      </c>
      <c r="AS65" s="3"/>
      <c r="AT65" s="3">
        <v>324.40600799999999</v>
      </c>
      <c r="AU65" s="3"/>
      <c r="AV65" s="3">
        <v>204.48352499999999</v>
      </c>
      <c r="AW65" s="3"/>
      <c r="AX65" s="3">
        <v>116.16641099999998</v>
      </c>
      <c r="AY65" s="3"/>
      <c r="AZ65" s="3">
        <v>131.66020799999998</v>
      </c>
      <c r="BA65" s="3"/>
      <c r="BB65" s="3">
        <v>164.03161799999998</v>
      </c>
      <c r="BC65" s="3"/>
      <c r="BD65" s="3">
        <v>147.94475699999998</v>
      </c>
      <c r="BE65" s="3"/>
      <c r="BF65" s="7">
        <v>0</v>
      </c>
      <c r="BG65" s="7" t="s">
        <v>107</v>
      </c>
      <c r="BH65" s="3">
        <v>29.949731999999997</v>
      </c>
      <c r="BI65" s="3"/>
      <c r="BJ65" s="3">
        <v>14.752466999999999</v>
      </c>
      <c r="BK65" s="3"/>
      <c r="BL65" s="3">
        <v>100.919724</v>
      </c>
      <c r="BM65" s="3"/>
      <c r="BN65" s="3">
        <v>94.396020000000007</v>
      </c>
      <c r="BO65" s="3"/>
      <c r="BP65" s="4">
        <v>0</v>
      </c>
      <c r="BQ65" s="4"/>
      <c r="BR65" s="4">
        <v>0</v>
      </c>
      <c r="BS65" s="4"/>
      <c r="BT65" s="3">
        <v>36.893522999999995</v>
      </c>
      <c r="BV65">
        <v>101.66105399999999</v>
      </c>
      <c r="BX65">
        <v>25.847706000000002</v>
      </c>
      <c r="BZ65">
        <v>1.7544809999999997</v>
      </c>
      <c r="CB65">
        <v>1.8780359999999998</v>
      </c>
      <c r="CD65" s="35">
        <v>0</v>
      </c>
      <c r="CE65" s="35"/>
      <c r="CF65" s="35">
        <v>0</v>
      </c>
      <c r="CH65" s="24">
        <v>0</v>
      </c>
      <c r="CI65" s="3">
        <f>CF65-CD65</f>
        <v>0</v>
      </c>
      <c r="CJ65" s="24">
        <f>CF65/CK65</f>
        <v>0</v>
      </c>
      <c r="CK65" s="38">
        <v>205</v>
      </c>
      <c r="CL65" t="s">
        <v>206</v>
      </c>
    </row>
    <row r="66" spans="1:90" x14ac:dyDescent="0.25">
      <c r="A66" t="s">
        <v>98</v>
      </c>
      <c r="B66" t="s">
        <v>99</v>
      </c>
      <c r="C66" t="s">
        <v>187</v>
      </c>
      <c r="D66" t="str">
        <f>CONCATENATE(B66, " ", C66)</f>
        <v>Western Branch of the Patuxent River (Tidal Fresh)</v>
      </c>
      <c r="E66">
        <v>45</v>
      </c>
      <c r="F66" s="3">
        <v>0</v>
      </c>
      <c r="G66" s="3"/>
      <c r="H66" s="3">
        <v>0</v>
      </c>
      <c r="I66" s="3"/>
      <c r="J66" s="3">
        <v>0</v>
      </c>
      <c r="K66" s="3"/>
      <c r="L66" s="3">
        <v>0</v>
      </c>
      <c r="M66" s="3"/>
      <c r="N66" s="3">
        <v>0</v>
      </c>
      <c r="O66" s="3"/>
      <c r="P66" s="3">
        <v>0</v>
      </c>
      <c r="Q66" s="3"/>
      <c r="R66" s="3">
        <v>0</v>
      </c>
      <c r="S66" s="3"/>
      <c r="T66" s="3">
        <v>0</v>
      </c>
      <c r="U66" s="3"/>
      <c r="V66" s="3">
        <v>0</v>
      </c>
      <c r="W66" s="3"/>
      <c r="X66" s="3">
        <v>0</v>
      </c>
      <c r="Y66" s="3"/>
      <c r="Z66" s="3">
        <v>0</v>
      </c>
      <c r="AA66" s="3"/>
      <c r="AB66" s="3">
        <v>0</v>
      </c>
      <c r="AC66" s="3"/>
      <c r="AD66" s="3">
        <v>0</v>
      </c>
      <c r="AE66" s="3"/>
      <c r="AF66" s="3">
        <v>0</v>
      </c>
      <c r="AG66" s="3"/>
      <c r="AH66" s="3">
        <v>0</v>
      </c>
      <c r="AI66" s="3"/>
      <c r="AJ66" s="3">
        <v>0</v>
      </c>
      <c r="AK66" s="3"/>
      <c r="AL66" s="3">
        <v>0</v>
      </c>
      <c r="AM66" s="3"/>
      <c r="AN66" s="3">
        <v>0</v>
      </c>
      <c r="AO66" s="3"/>
      <c r="AP66" s="3">
        <v>0</v>
      </c>
      <c r="AQ66" s="3"/>
      <c r="AR66" s="3">
        <v>0</v>
      </c>
      <c r="AS66" s="3"/>
      <c r="AT66" s="3">
        <v>0.14826599999999998</v>
      </c>
      <c r="AU66" s="3"/>
      <c r="AV66" s="3">
        <v>7.4132999999999991E-2</v>
      </c>
      <c r="AW66" s="3"/>
      <c r="AX66" s="3">
        <v>2.4711E-2</v>
      </c>
      <c r="AY66" s="3"/>
      <c r="AZ66" s="3">
        <v>0</v>
      </c>
      <c r="BA66" s="3"/>
      <c r="BB66" s="3">
        <v>0</v>
      </c>
      <c r="BC66" s="3"/>
      <c r="BD66" s="3">
        <v>1.2602609999999999</v>
      </c>
      <c r="BE66" s="3"/>
      <c r="BF66" s="7">
        <v>0</v>
      </c>
      <c r="BG66" s="7" t="s">
        <v>107</v>
      </c>
      <c r="BH66" s="3">
        <v>0.54364199999999996</v>
      </c>
      <c r="BI66" s="3"/>
      <c r="BJ66" s="3">
        <v>1.2355499999999999</v>
      </c>
      <c r="BK66" s="3"/>
      <c r="BL66" s="3">
        <v>1.828614</v>
      </c>
      <c r="BM66" s="3"/>
      <c r="BN66" s="3">
        <v>0</v>
      </c>
      <c r="BO66" s="3"/>
      <c r="BP66" s="4">
        <v>0</v>
      </c>
      <c r="BQ66" s="4"/>
      <c r="BR66" s="4">
        <v>0</v>
      </c>
      <c r="BS66" s="4"/>
      <c r="BT66" s="3">
        <v>1.4579489999999999</v>
      </c>
      <c r="BV66">
        <v>0.49421999999999999</v>
      </c>
      <c r="BX66" s="23">
        <v>0.42008699999999999</v>
      </c>
      <c r="BZ66">
        <v>0</v>
      </c>
      <c r="CB66">
        <v>0</v>
      </c>
      <c r="CD66" s="35">
        <v>0</v>
      </c>
      <c r="CE66" s="35"/>
      <c r="CF66" s="35">
        <v>0</v>
      </c>
      <c r="CH66" s="24">
        <v>0</v>
      </c>
      <c r="CI66" s="3">
        <f>CF66-CD66</f>
        <v>0</v>
      </c>
      <c r="CK66" s="38">
        <v>0</v>
      </c>
      <c r="CL66" t="s">
        <v>207</v>
      </c>
    </row>
    <row r="67" spans="1:90" x14ac:dyDescent="0.25">
      <c r="A67" t="s">
        <v>123</v>
      </c>
      <c r="B67" t="s">
        <v>124</v>
      </c>
      <c r="C67" t="s">
        <v>189</v>
      </c>
      <c r="D67" t="str">
        <f>CONCATENATE(B67, " ", C67)</f>
        <v>Lower Potomac River (Mesohaline)</v>
      </c>
      <c r="E67">
        <v>46</v>
      </c>
      <c r="F67" s="5">
        <v>92.938070999999994</v>
      </c>
      <c r="G67" s="5" t="s">
        <v>108</v>
      </c>
      <c r="H67" s="3">
        <v>123.50557799999999</v>
      </c>
      <c r="I67" s="3"/>
      <c r="J67" s="3">
        <v>86.587343999999987</v>
      </c>
      <c r="K67" s="3"/>
      <c r="L67" s="3">
        <v>107.07276299999999</v>
      </c>
      <c r="M67" s="3"/>
      <c r="N67" s="3">
        <v>193.165887</v>
      </c>
      <c r="O67" s="3"/>
      <c r="P67" s="3">
        <v>210.16705499999998</v>
      </c>
      <c r="Q67" s="3"/>
      <c r="R67" s="3">
        <v>274.61334299999999</v>
      </c>
      <c r="S67" s="3"/>
      <c r="T67" s="3">
        <v>220.76807399999998</v>
      </c>
      <c r="U67" s="3"/>
      <c r="V67" s="3">
        <v>244.58947799999999</v>
      </c>
      <c r="W67" s="3"/>
      <c r="X67" s="3">
        <v>444.67444499999993</v>
      </c>
      <c r="Y67" s="3"/>
      <c r="Z67" s="3">
        <v>545.94012299999997</v>
      </c>
      <c r="AA67" s="3"/>
      <c r="AB67" s="3">
        <v>825.54508799999996</v>
      </c>
      <c r="AC67" s="3"/>
      <c r="AD67" s="3">
        <v>1346.9471880000001</v>
      </c>
      <c r="AE67" s="3"/>
      <c r="AF67" s="3">
        <v>1145.6760929999998</v>
      </c>
      <c r="AG67" s="3"/>
      <c r="AH67" s="3">
        <v>1808.8946219999998</v>
      </c>
      <c r="AI67" s="3"/>
      <c r="AJ67" s="3">
        <v>915.59197199999994</v>
      </c>
      <c r="AK67" s="3"/>
      <c r="AL67" s="3">
        <v>1501.0449840000001</v>
      </c>
      <c r="AM67" s="3"/>
      <c r="AN67" s="3">
        <v>2439.2475209999998</v>
      </c>
      <c r="AO67" s="3"/>
      <c r="AP67" s="9">
        <v>2429.1160109999996</v>
      </c>
      <c r="AQ67" s="9" t="s">
        <v>108</v>
      </c>
      <c r="AR67" s="3">
        <v>3062.18712</v>
      </c>
      <c r="AS67" s="3"/>
      <c r="AT67" s="3">
        <v>2892.8179260000002</v>
      </c>
      <c r="AU67" s="3"/>
      <c r="AV67" s="3">
        <v>1663.0502999999999</v>
      </c>
      <c r="AW67" s="3"/>
      <c r="AX67" s="3">
        <v>677.57561999999996</v>
      </c>
      <c r="AY67" s="3"/>
      <c r="AZ67" s="3">
        <v>395.54897699999998</v>
      </c>
      <c r="BA67" s="3"/>
      <c r="BB67" s="3">
        <v>335.89662299999998</v>
      </c>
      <c r="BC67" s="3"/>
      <c r="BD67" s="3">
        <v>207.17702399999999</v>
      </c>
      <c r="BE67" s="3"/>
      <c r="BF67" s="3">
        <v>364.61080500000003</v>
      </c>
      <c r="BG67" s="3"/>
      <c r="BH67" s="3">
        <v>697.86335099999997</v>
      </c>
      <c r="BI67" s="3"/>
      <c r="BJ67" s="3">
        <v>1112.2668209999999</v>
      </c>
      <c r="BK67" s="3"/>
      <c r="BL67" s="3">
        <v>408.05274299999996</v>
      </c>
      <c r="BM67" s="3"/>
      <c r="BN67" s="3">
        <v>619.75188000000003</v>
      </c>
      <c r="BO67" s="3"/>
      <c r="BP67" s="6">
        <v>31.531235999999996</v>
      </c>
      <c r="BQ67" s="6" t="s">
        <v>108</v>
      </c>
      <c r="BR67" s="4">
        <v>747.13708499999996</v>
      </c>
      <c r="BS67" s="4"/>
      <c r="BT67" s="3">
        <v>624.10101599999996</v>
      </c>
      <c r="BU67" t="s">
        <v>108</v>
      </c>
      <c r="BV67">
        <v>760.65400199999999</v>
      </c>
      <c r="BX67">
        <v>848.79813899999999</v>
      </c>
      <c r="BZ67">
        <v>1190.7736679999998</v>
      </c>
      <c r="CB67">
        <v>1429.8525929999998</v>
      </c>
      <c r="CD67" s="35">
        <v>2041.0625895000001</v>
      </c>
      <c r="CE67" s="35"/>
      <c r="CF67" s="35">
        <v>1862.9740159999999</v>
      </c>
      <c r="CH67" s="24">
        <f>(CF67-CD67)/CD67</f>
        <v>-8.7252872310802879E-2</v>
      </c>
      <c r="CI67" s="3">
        <f>CF67-CD67</f>
        <v>-178.08857350000017</v>
      </c>
      <c r="CJ67" s="24">
        <f>CF67/CK67</f>
        <v>0.26283493453724605</v>
      </c>
      <c r="CK67" s="38">
        <v>7088</v>
      </c>
      <c r="CL67" s="10" t="s">
        <v>221</v>
      </c>
    </row>
    <row r="68" spans="1:90" x14ac:dyDescent="0.25">
      <c r="A68" t="s">
        <v>125</v>
      </c>
      <c r="B68" t="s">
        <v>126</v>
      </c>
      <c r="C68" t="s">
        <v>188</v>
      </c>
      <c r="D68" t="str">
        <f>CONCATENATE(B68, " ", C68)</f>
        <v>Middle Potomac River Segment 1 (Oligohaline)</v>
      </c>
      <c r="E68">
        <v>47.1</v>
      </c>
      <c r="F68" s="5">
        <v>179.20417199999997</v>
      </c>
      <c r="G68" s="5" t="s">
        <v>108</v>
      </c>
      <c r="H68" s="3">
        <v>486.80669999999998</v>
      </c>
      <c r="I68" s="3"/>
      <c r="J68" s="3">
        <v>359.96513699999997</v>
      </c>
      <c r="K68" s="3"/>
      <c r="L68" s="3">
        <v>476.15625899999998</v>
      </c>
      <c r="M68" s="3"/>
      <c r="N68" s="3">
        <v>1525.0393649999999</v>
      </c>
      <c r="O68" s="3"/>
      <c r="P68" s="3">
        <v>1657.094949</v>
      </c>
      <c r="Q68" s="3"/>
      <c r="R68" s="3">
        <v>1722.9250529999999</v>
      </c>
      <c r="S68" s="3"/>
      <c r="T68" s="3">
        <v>1631.1236879999999</v>
      </c>
      <c r="U68" s="3"/>
      <c r="V68" s="3">
        <v>1725.8656619999997</v>
      </c>
      <c r="W68" s="3"/>
      <c r="X68" s="3">
        <v>1537.5678419999999</v>
      </c>
      <c r="Y68" s="3"/>
      <c r="Z68" s="3">
        <v>1125.9567149999998</v>
      </c>
      <c r="AA68" s="3"/>
      <c r="AB68" s="3">
        <v>983.47308899999996</v>
      </c>
      <c r="AC68" s="3"/>
      <c r="AD68" s="3">
        <v>763.54518899999994</v>
      </c>
      <c r="AE68" s="3"/>
      <c r="AF68" s="3">
        <v>1387.2261179999998</v>
      </c>
      <c r="AG68" s="3"/>
      <c r="AH68" s="3">
        <v>935.26192800000001</v>
      </c>
      <c r="AI68" s="3"/>
      <c r="AJ68" s="3">
        <v>1352.7295619999998</v>
      </c>
      <c r="AK68" s="3"/>
      <c r="AL68" s="9">
        <v>892.53660899999988</v>
      </c>
      <c r="AM68" s="9" t="s">
        <v>108</v>
      </c>
      <c r="AN68" s="3">
        <v>803.18163299999992</v>
      </c>
      <c r="AO68" s="3"/>
      <c r="AP68" s="3">
        <v>1082.7371760000001</v>
      </c>
      <c r="AQ68" s="3"/>
      <c r="AR68" s="3">
        <v>857.76823200000001</v>
      </c>
      <c r="AS68" s="3"/>
      <c r="AT68" s="3">
        <v>1078.313907</v>
      </c>
      <c r="AU68" s="3"/>
      <c r="AV68" s="3">
        <v>865.32979799999998</v>
      </c>
      <c r="AW68" s="3"/>
      <c r="AX68" s="3">
        <v>1106.8304009999999</v>
      </c>
      <c r="AY68" s="3"/>
      <c r="AZ68" s="3">
        <v>1153.4847689999999</v>
      </c>
      <c r="BA68" s="3"/>
      <c r="BB68" s="3">
        <v>1157.858616</v>
      </c>
      <c r="BC68" s="3"/>
      <c r="BD68" s="3">
        <v>1060.7938079999999</v>
      </c>
      <c r="BE68" s="3"/>
      <c r="BF68" s="9">
        <v>727.04704200000003</v>
      </c>
      <c r="BG68" s="9" t="s">
        <v>108</v>
      </c>
      <c r="BH68" s="3">
        <v>544.77870599999994</v>
      </c>
      <c r="BI68" s="3"/>
      <c r="BJ68" s="3">
        <v>430.91041799999994</v>
      </c>
      <c r="BK68" s="3"/>
      <c r="BL68" s="3">
        <v>380.22815700000001</v>
      </c>
      <c r="BM68" s="3"/>
      <c r="BN68" s="3">
        <v>429.08180399999992</v>
      </c>
      <c r="BO68" s="3"/>
      <c r="BP68" s="4">
        <v>381.78494999999998</v>
      </c>
      <c r="BQ68" s="4"/>
      <c r="BR68" s="4">
        <v>215.825874</v>
      </c>
      <c r="BS68" s="4"/>
      <c r="BT68" s="3">
        <v>194.35201499999999</v>
      </c>
      <c r="BU68" t="s">
        <v>108</v>
      </c>
      <c r="BV68">
        <v>282.47144099999997</v>
      </c>
      <c r="BX68">
        <v>363.32583299999999</v>
      </c>
      <c r="BZ68">
        <v>285.53560499999998</v>
      </c>
      <c r="CB68">
        <v>368.78696400000001</v>
      </c>
      <c r="CD68" s="35">
        <v>147.00276450000001</v>
      </c>
      <c r="CE68" s="35" t="s">
        <v>108</v>
      </c>
      <c r="CF68" s="35">
        <v>154.06996749999999</v>
      </c>
      <c r="CH68" s="24">
        <f>(CF68-CD68)/CD68</f>
        <v>4.8075306774247616E-2</v>
      </c>
      <c r="CI68" s="3">
        <f>CF68-CD68</f>
        <v>7.0672029999999779</v>
      </c>
      <c r="CJ68" s="24">
        <f>CF68/CK68</f>
        <v>0.11108144736842104</v>
      </c>
      <c r="CK68" s="38">
        <v>1387</v>
      </c>
      <c r="CL68" s="10" t="s">
        <v>253</v>
      </c>
    </row>
    <row r="69" spans="1:90" x14ac:dyDescent="0.25">
      <c r="A69" t="s">
        <v>127</v>
      </c>
      <c r="B69" t="s">
        <v>128</v>
      </c>
      <c r="C69" t="s">
        <v>188</v>
      </c>
      <c r="D69" t="str">
        <f>CONCATENATE(B69, " ", C69)</f>
        <v>Middle Potomac River Segment 2 (Oligohaline)</v>
      </c>
      <c r="E69">
        <v>47.2</v>
      </c>
      <c r="F69" s="3">
        <v>246.26982599999997</v>
      </c>
      <c r="G69" s="3"/>
      <c r="H69" s="3">
        <v>216.51778200000001</v>
      </c>
      <c r="I69" s="3"/>
      <c r="J69" s="3">
        <v>235.12516500000001</v>
      </c>
      <c r="K69" s="3"/>
      <c r="L69" s="3">
        <v>266.06333699999999</v>
      </c>
      <c r="M69" s="3"/>
      <c r="N69" s="3">
        <v>252.66997499999999</v>
      </c>
      <c r="O69" s="3"/>
      <c r="P69" s="3">
        <v>214.59032400000001</v>
      </c>
      <c r="Q69" s="3"/>
      <c r="R69" s="3">
        <v>246.022716</v>
      </c>
      <c r="S69" s="3"/>
      <c r="T69" s="3">
        <v>179.10532799999999</v>
      </c>
      <c r="U69" s="3"/>
      <c r="V69" s="3">
        <v>182.24362499999998</v>
      </c>
      <c r="W69" s="3"/>
      <c r="X69" s="3">
        <v>170.48118899999997</v>
      </c>
      <c r="Y69" s="3"/>
      <c r="Z69" s="3">
        <v>154.14721800000001</v>
      </c>
      <c r="AA69" s="3"/>
      <c r="AB69" s="3">
        <v>191.31256199999999</v>
      </c>
      <c r="AC69" s="3"/>
      <c r="AD69" s="3">
        <v>221.31171599999999</v>
      </c>
      <c r="AE69" s="3"/>
      <c r="AF69" s="3">
        <v>262.43081999999998</v>
      </c>
      <c r="AG69" s="3"/>
      <c r="AH69" s="3">
        <v>362.04086099999995</v>
      </c>
      <c r="AI69" s="3"/>
      <c r="AJ69" s="3">
        <v>183.083799</v>
      </c>
      <c r="AK69" s="3"/>
      <c r="AL69" s="9">
        <v>117.77262599999999</v>
      </c>
      <c r="AM69" s="9" t="s">
        <v>108</v>
      </c>
      <c r="AN69" s="3">
        <v>6.6966809999999999</v>
      </c>
      <c r="AO69" s="3"/>
      <c r="AP69" s="3">
        <v>31.259415000000001</v>
      </c>
      <c r="AQ69" s="3"/>
      <c r="AR69" s="3">
        <v>142.58247</v>
      </c>
      <c r="AS69" s="3"/>
      <c r="AT69" s="3">
        <v>202.037136</v>
      </c>
      <c r="AU69" s="3"/>
      <c r="AV69" s="3">
        <v>180.85980899999998</v>
      </c>
      <c r="AW69" s="3"/>
      <c r="AX69" s="3">
        <v>154.83912599999999</v>
      </c>
      <c r="AY69" s="3"/>
      <c r="AZ69" s="3">
        <v>174.73148099999997</v>
      </c>
      <c r="BA69" s="3"/>
      <c r="BB69" s="3">
        <v>155.753433</v>
      </c>
      <c r="BC69" s="3"/>
      <c r="BD69" s="3">
        <v>136.92365099999998</v>
      </c>
      <c r="BE69" s="3"/>
      <c r="BF69" s="9">
        <v>84.808151999999993</v>
      </c>
      <c r="BG69" s="9" t="s">
        <v>108</v>
      </c>
      <c r="BH69" s="3">
        <v>186.71631600000001</v>
      </c>
      <c r="BI69" s="3"/>
      <c r="BJ69" s="3">
        <v>152.664558</v>
      </c>
      <c r="BK69" s="3"/>
      <c r="BL69" s="3">
        <v>186.83987099999999</v>
      </c>
      <c r="BM69" s="3"/>
      <c r="BN69" s="3">
        <v>286.351068</v>
      </c>
      <c r="BO69" s="3"/>
      <c r="BP69" s="4">
        <v>96.125789999999995</v>
      </c>
      <c r="BQ69" s="4"/>
      <c r="BR69" s="4">
        <v>0</v>
      </c>
      <c r="BS69" s="4"/>
      <c r="BT69" s="3">
        <v>0</v>
      </c>
      <c r="BU69" t="s">
        <v>108</v>
      </c>
      <c r="BV69">
        <v>6.0789059999999999</v>
      </c>
      <c r="BX69">
        <v>0</v>
      </c>
      <c r="BZ69">
        <v>0</v>
      </c>
      <c r="CB69">
        <v>1.4085269999999999</v>
      </c>
      <c r="CD69" s="35">
        <v>0</v>
      </c>
      <c r="CE69" s="35"/>
      <c r="CF69" s="35">
        <v>0</v>
      </c>
      <c r="CG69" s="10"/>
      <c r="CH69" s="24">
        <v>0</v>
      </c>
      <c r="CI69" s="3">
        <f>CF69-CD69</f>
        <v>0</v>
      </c>
      <c r="CJ69" s="24">
        <f>CF69/CK69</f>
        <v>0</v>
      </c>
      <c r="CK69" s="38">
        <v>262</v>
      </c>
      <c r="CL69" s="10" t="s">
        <v>212</v>
      </c>
    </row>
    <row r="70" spans="1:90" x14ac:dyDescent="0.25">
      <c r="A70" t="s">
        <v>129</v>
      </c>
      <c r="B70" t="s">
        <v>130</v>
      </c>
      <c r="C70" t="s">
        <v>188</v>
      </c>
      <c r="D70" t="str">
        <f>CONCATENATE(B70, " ", C70)</f>
        <v>Middle Potomac River Segment 3 (Oligohaline)</v>
      </c>
      <c r="E70">
        <v>47.3</v>
      </c>
      <c r="F70" s="5">
        <v>110.97710099999999</v>
      </c>
      <c r="G70" s="5" t="s">
        <v>108</v>
      </c>
      <c r="H70" s="3">
        <v>345.11382599999996</v>
      </c>
      <c r="I70" s="3"/>
      <c r="J70" s="3">
        <v>311.28446700000001</v>
      </c>
      <c r="K70" s="3"/>
      <c r="L70" s="3">
        <v>347.83203599999996</v>
      </c>
      <c r="M70" s="3"/>
      <c r="N70" s="3">
        <v>434.24640299999993</v>
      </c>
      <c r="O70" s="3"/>
      <c r="P70" s="3">
        <v>321.78664199999997</v>
      </c>
      <c r="Q70" s="3"/>
      <c r="R70" s="3">
        <v>373.82800799999995</v>
      </c>
      <c r="S70" s="3"/>
      <c r="T70" s="3">
        <v>498.61855799999995</v>
      </c>
      <c r="U70" s="3"/>
      <c r="V70" s="3">
        <v>251.06375999999997</v>
      </c>
      <c r="W70" s="3"/>
      <c r="X70" s="3">
        <v>263.74050299999999</v>
      </c>
      <c r="Y70" s="3"/>
      <c r="Z70" s="3">
        <v>287.61132900000001</v>
      </c>
      <c r="AA70" s="3"/>
      <c r="AB70" s="3">
        <v>464.393823</v>
      </c>
      <c r="AC70" s="3"/>
      <c r="AD70" s="3">
        <v>975.49143599999991</v>
      </c>
      <c r="AE70" s="3"/>
      <c r="AF70" s="3">
        <v>1153.0646819999999</v>
      </c>
      <c r="AG70" s="3"/>
      <c r="AH70" s="3">
        <v>1233.993207</v>
      </c>
      <c r="AI70" s="3"/>
      <c r="AJ70" s="3">
        <v>804.51602699999989</v>
      </c>
      <c r="AK70" s="3"/>
      <c r="AL70" s="9">
        <v>77.987915999999998</v>
      </c>
      <c r="AM70" s="9" t="s">
        <v>108</v>
      </c>
      <c r="AN70" s="3">
        <v>545.64359100000001</v>
      </c>
      <c r="AO70" s="3"/>
      <c r="AP70" s="3">
        <v>546.75558599999999</v>
      </c>
      <c r="AQ70" s="3"/>
      <c r="AR70" s="3">
        <v>709.30454399999996</v>
      </c>
      <c r="AS70" s="3"/>
      <c r="AT70" s="3">
        <v>930.14675099999999</v>
      </c>
      <c r="AU70" s="3"/>
      <c r="AV70" s="3">
        <v>724.20527699999991</v>
      </c>
      <c r="AW70" s="3"/>
      <c r="AX70" s="3">
        <v>97.311918000000006</v>
      </c>
      <c r="AY70" s="3"/>
      <c r="AZ70" s="3">
        <v>105.787791</v>
      </c>
      <c r="BA70" s="3"/>
      <c r="BB70" s="3">
        <v>82.633583999999985</v>
      </c>
      <c r="BC70" s="3"/>
      <c r="BD70" s="3">
        <v>82.11465299999999</v>
      </c>
      <c r="BE70" s="3"/>
      <c r="BF70" s="9">
        <v>232.90117499999999</v>
      </c>
      <c r="BG70" s="9" t="s">
        <v>108</v>
      </c>
      <c r="BH70" s="3">
        <v>369.67655999999994</v>
      </c>
      <c r="BI70" s="3"/>
      <c r="BJ70" s="3">
        <v>331.102689</v>
      </c>
      <c r="BK70" s="3"/>
      <c r="BL70" s="3">
        <v>371.92526099999998</v>
      </c>
      <c r="BM70" s="3"/>
      <c r="BN70" s="3">
        <v>198.97297199999997</v>
      </c>
      <c r="BO70" s="3"/>
      <c r="BP70" s="4">
        <v>234.779211</v>
      </c>
      <c r="BQ70" s="4"/>
      <c r="BR70" s="4">
        <v>90.63994799999999</v>
      </c>
      <c r="BS70" s="4"/>
      <c r="BT70" s="3">
        <v>139.64186099999998</v>
      </c>
      <c r="BU70" t="s">
        <v>108</v>
      </c>
      <c r="BV70">
        <v>259.86087599999996</v>
      </c>
      <c r="BX70">
        <v>253.88081399999996</v>
      </c>
      <c r="BZ70">
        <v>229.49105699999998</v>
      </c>
      <c r="CB70">
        <v>245.62734</v>
      </c>
      <c r="CD70" s="35">
        <v>0</v>
      </c>
      <c r="CE70" s="35"/>
      <c r="CF70" s="35">
        <v>36.769224000000001</v>
      </c>
      <c r="CH70" s="24">
        <v>0</v>
      </c>
      <c r="CI70" s="3">
        <f>CF70-CD70</f>
        <v>36.769224000000001</v>
      </c>
      <c r="CJ70" s="24">
        <f>CF70/CK70</f>
        <v>3.1890046834345188E-2</v>
      </c>
      <c r="CK70" s="38">
        <v>1153</v>
      </c>
      <c r="CL70" s="10" t="s">
        <v>211</v>
      </c>
    </row>
    <row r="71" spans="1:90" x14ac:dyDescent="0.25">
      <c r="A71" s="12" t="s">
        <v>186</v>
      </c>
      <c r="B71" s="12" t="s">
        <v>177</v>
      </c>
      <c r="C71" s="12" t="s">
        <v>188</v>
      </c>
      <c r="D71" t="str">
        <f>CONCATENATE(B71, " ", C71)</f>
        <v>Middle Potomac River (Oligohaline)</v>
      </c>
      <c r="E71" s="12">
        <v>47</v>
      </c>
      <c r="F71" s="15">
        <f>SUM(F68:F70)</f>
        <v>536.45109899999989</v>
      </c>
      <c r="G71" s="16" t="s">
        <v>108</v>
      </c>
      <c r="H71" s="13">
        <f>SUM(H68:H70)</f>
        <v>1048.438308</v>
      </c>
      <c r="I71" s="13"/>
      <c r="J71" s="13">
        <f>SUM(J68:J70)</f>
        <v>906.37476900000001</v>
      </c>
      <c r="K71" s="13"/>
      <c r="L71" s="13">
        <f>SUM(L68:L70)</f>
        <v>1090.0516319999999</v>
      </c>
      <c r="M71" s="13"/>
      <c r="N71" s="13">
        <f>SUM(N68:N70)</f>
        <v>2211.955743</v>
      </c>
      <c r="O71" s="13"/>
      <c r="P71" s="13">
        <f>SUM(P68:P70)</f>
        <v>2193.4719150000001</v>
      </c>
      <c r="Q71" s="13"/>
      <c r="R71" s="13">
        <f>SUM(R68:R70)</f>
        <v>2342.7757769999998</v>
      </c>
      <c r="S71" s="13"/>
      <c r="T71" s="13">
        <f>SUM(T68:T70)</f>
        <v>2308.8475739999999</v>
      </c>
      <c r="U71" s="13"/>
      <c r="V71" s="13">
        <f>SUM(V68:V70)</f>
        <v>2159.1730469999998</v>
      </c>
      <c r="W71" s="13"/>
      <c r="X71" s="13">
        <f>SUM(X68:X70)</f>
        <v>1971.789534</v>
      </c>
      <c r="Y71" s="13"/>
      <c r="Z71" s="13">
        <f>SUM(Z68:Z70)</f>
        <v>1567.7152619999999</v>
      </c>
      <c r="AA71" s="13"/>
      <c r="AB71" s="13">
        <f>SUM(AB68:AB70)</f>
        <v>1639.179474</v>
      </c>
      <c r="AC71" s="13"/>
      <c r="AD71" s="13">
        <f>SUM(AD68:AD70)</f>
        <v>1960.3483409999999</v>
      </c>
      <c r="AE71" s="13"/>
      <c r="AF71" s="13">
        <f>SUM(AF68:AF70)</f>
        <v>2802.7216199999998</v>
      </c>
      <c r="AG71" s="13"/>
      <c r="AH71" s="13">
        <f>SUM(AH68:AH70)</f>
        <v>2531.2959959999998</v>
      </c>
      <c r="AI71" s="13"/>
      <c r="AJ71" s="13">
        <f>SUM(AJ68:AJ70)</f>
        <v>2340.3293879999997</v>
      </c>
      <c r="AK71" s="13"/>
      <c r="AL71" s="16">
        <f>SUM(AL68:AL70)</f>
        <v>1088.2971509999998</v>
      </c>
      <c r="AM71" s="16" t="s">
        <v>108</v>
      </c>
      <c r="AN71" s="13">
        <f>SUM(AN68:AN70)</f>
        <v>1355.5219050000001</v>
      </c>
      <c r="AO71" s="13"/>
      <c r="AP71" s="13">
        <f>SUM(AP68:AP70)</f>
        <v>1660.7521770000001</v>
      </c>
      <c r="AQ71" s="13"/>
      <c r="AR71" s="13">
        <f>SUM(AR68:AR70)</f>
        <v>1709.6552459999998</v>
      </c>
      <c r="AS71" s="13"/>
      <c r="AT71" s="13">
        <f>SUM(AT68:AT70)</f>
        <v>2210.4977939999999</v>
      </c>
      <c r="AU71" s="13"/>
      <c r="AV71" s="13">
        <f>SUM(AV68:AV70)</f>
        <v>1770.3948839999998</v>
      </c>
      <c r="AW71" s="13"/>
      <c r="AX71" s="13">
        <f>SUM(AX68:AX70)</f>
        <v>1358.9814450000001</v>
      </c>
      <c r="AY71" s="13"/>
      <c r="AZ71" s="13">
        <f>SUM(AZ68:AZ70)</f>
        <v>1434.0040409999999</v>
      </c>
      <c r="BA71" s="13"/>
      <c r="BB71" s="13">
        <f>SUM(BB68:BB70)</f>
        <v>1396.245633</v>
      </c>
      <c r="BC71" s="13"/>
      <c r="BD71" s="13">
        <f>SUM(BD68:BD70)</f>
        <v>1279.8321120000001</v>
      </c>
      <c r="BE71" s="13"/>
      <c r="BF71" s="16">
        <f>SUM(BF68:BF70)</f>
        <v>1044.7563689999999</v>
      </c>
      <c r="BG71" s="16" t="s">
        <v>108</v>
      </c>
      <c r="BH71" s="13">
        <f>SUM(BH68:BH70)</f>
        <v>1101.1715819999999</v>
      </c>
      <c r="BI71" s="13"/>
      <c r="BJ71" s="13">
        <f>SUM(BJ68:BJ70)</f>
        <v>914.67766499999993</v>
      </c>
      <c r="BK71" s="13"/>
      <c r="BL71" s="13">
        <f>SUM(BL68:BL70)</f>
        <v>938.993289</v>
      </c>
      <c r="BM71" s="13"/>
      <c r="BN71" s="13">
        <f>SUM(BN68:BN70)</f>
        <v>914.40584399999989</v>
      </c>
      <c r="BO71" s="13"/>
      <c r="BP71" s="14">
        <f>SUM(BP68:BP70)</f>
        <v>712.68995099999995</v>
      </c>
      <c r="BQ71" s="14"/>
      <c r="BR71" s="14">
        <f>SUM(BR68:BR70)</f>
        <v>306.465822</v>
      </c>
      <c r="BS71" s="14"/>
      <c r="BT71" s="13">
        <v>333.99387599999994</v>
      </c>
      <c r="BU71" s="12"/>
      <c r="BV71" s="12">
        <f>SUM(BV68:BV70)</f>
        <v>548.41122299999995</v>
      </c>
      <c r="BW71" s="12"/>
      <c r="BX71" s="12">
        <f>SUM(BX68:BX70)</f>
        <v>617.20664699999998</v>
      </c>
      <c r="BY71" s="12"/>
      <c r="BZ71" s="12">
        <v>515.02666199999999</v>
      </c>
      <c r="CA71" s="12"/>
      <c r="CB71" s="12">
        <f>SUM(CB68:CB70)</f>
        <v>615.82283099999995</v>
      </c>
      <c r="CC71" s="12"/>
      <c r="CD71" s="33">
        <f>SUM(CD68:CD70)</f>
        <v>147.00276450000001</v>
      </c>
      <c r="CE71" s="33"/>
      <c r="CF71" s="33">
        <f>SUM(CF68:CF70)</f>
        <v>190.8391915</v>
      </c>
      <c r="CH71" s="24">
        <f>(CF71-CD71)/CD71</f>
        <v>0.29820137838292138</v>
      </c>
      <c r="CI71" s="3">
        <f>CF71-CD71</f>
        <v>43.836426999999986</v>
      </c>
      <c r="CJ71" s="24">
        <f>CF71/CK71</f>
        <v>6.8108205389007845E-2</v>
      </c>
      <c r="CK71" s="38">
        <f>SUM(CK68:CK70)</f>
        <v>2802</v>
      </c>
      <c r="CL71" s="10" t="s">
        <v>211</v>
      </c>
    </row>
    <row r="72" spans="1:90" x14ac:dyDescent="0.25">
      <c r="A72" t="s">
        <v>131</v>
      </c>
      <c r="B72" t="s">
        <v>132</v>
      </c>
      <c r="C72" t="s">
        <v>187</v>
      </c>
      <c r="D72" t="str">
        <f>CONCATENATE(B72, " ", C72)</f>
        <v>Upper Potomac River (Tidal Fresh)</v>
      </c>
      <c r="E72">
        <v>48</v>
      </c>
      <c r="F72" s="3">
        <v>924.78446399999996</v>
      </c>
      <c r="G72" s="3"/>
      <c r="H72" s="3">
        <v>1851.9164729999998</v>
      </c>
      <c r="I72" s="3"/>
      <c r="J72" s="3">
        <v>2185.4902619999998</v>
      </c>
      <c r="K72" s="3"/>
      <c r="L72" s="3">
        <v>2125.39311</v>
      </c>
      <c r="M72" s="3"/>
      <c r="N72" s="3">
        <v>1594.3042979999998</v>
      </c>
      <c r="O72" s="3"/>
      <c r="P72" s="3">
        <v>1812.4282949999999</v>
      </c>
      <c r="Q72" s="3"/>
      <c r="R72" s="3">
        <v>2143.3085849999998</v>
      </c>
      <c r="S72" s="3"/>
      <c r="T72" s="3">
        <v>1760.2386630000001</v>
      </c>
      <c r="U72" s="3"/>
      <c r="V72" s="3">
        <v>1655.6864219999998</v>
      </c>
      <c r="W72" s="3"/>
      <c r="X72" s="3">
        <v>1113.7247699999998</v>
      </c>
      <c r="Y72" s="3"/>
      <c r="Z72" s="3">
        <v>482.70467399999995</v>
      </c>
      <c r="AA72" s="3"/>
      <c r="AB72" s="3">
        <v>507.24269700000002</v>
      </c>
      <c r="AC72" s="3"/>
      <c r="AD72" s="3">
        <v>446.05826099999996</v>
      </c>
      <c r="AE72" s="3"/>
      <c r="AF72" s="3">
        <v>1325.769861</v>
      </c>
      <c r="AG72" s="3"/>
      <c r="AH72" s="3">
        <v>1561.636356</v>
      </c>
      <c r="AI72" s="3"/>
      <c r="AJ72" s="3">
        <v>1820.0392829999998</v>
      </c>
      <c r="AK72" s="3"/>
      <c r="AL72" s="9">
        <v>861.25248299999987</v>
      </c>
      <c r="AM72" s="9" t="s">
        <v>108</v>
      </c>
      <c r="AN72" s="3">
        <v>1856.3397419999999</v>
      </c>
      <c r="AO72" s="3"/>
      <c r="AP72" s="3">
        <v>858.04005299999994</v>
      </c>
      <c r="AQ72" s="3"/>
      <c r="AR72" s="3">
        <v>1211.6297519999998</v>
      </c>
      <c r="AS72" s="3"/>
      <c r="AT72" s="3">
        <v>1967.2921319999998</v>
      </c>
      <c r="AU72" s="3"/>
      <c r="AV72" s="3">
        <v>2013.526413</v>
      </c>
      <c r="AW72" s="3"/>
      <c r="AX72" s="3">
        <v>2746.0592969999998</v>
      </c>
      <c r="AY72" s="3"/>
      <c r="AZ72" s="3">
        <v>3072.9611159999995</v>
      </c>
      <c r="BA72" s="3"/>
      <c r="BB72" s="3">
        <v>2843.667747</v>
      </c>
      <c r="BC72" s="3"/>
      <c r="BD72" s="3">
        <v>1883.9913509999999</v>
      </c>
      <c r="BE72" s="3"/>
      <c r="BF72" s="9">
        <v>468.07576199999994</v>
      </c>
      <c r="BG72" s="9" t="s">
        <v>108</v>
      </c>
      <c r="BH72" s="3">
        <v>867.35609999999997</v>
      </c>
      <c r="BI72" s="3"/>
      <c r="BJ72" s="3">
        <v>1363.9977779999999</v>
      </c>
      <c r="BK72" s="3"/>
      <c r="BL72" s="3">
        <v>1484.4639029999998</v>
      </c>
      <c r="BM72" s="3"/>
      <c r="BN72" s="3">
        <v>1920.53892</v>
      </c>
      <c r="BO72" s="3"/>
      <c r="BP72" s="6">
        <v>983.91788699999995</v>
      </c>
      <c r="BQ72" s="6" t="s">
        <v>108</v>
      </c>
      <c r="BR72" s="4">
        <v>1974.2112119999997</v>
      </c>
      <c r="BS72" s="4"/>
      <c r="BT72" s="3">
        <v>536.59936500000003</v>
      </c>
      <c r="BU72" t="s">
        <v>108</v>
      </c>
      <c r="BV72">
        <v>905.26277399999992</v>
      </c>
      <c r="BX72">
        <v>1072.1608679999999</v>
      </c>
      <c r="BZ72">
        <v>1174.4891190000001</v>
      </c>
      <c r="CB72">
        <v>1120.6438499999999</v>
      </c>
      <c r="CD72" s="35">
        <v>0</v>
      </c>
      <c r="CE72" s="35" t="s">
        <v>108</v>
      </c>
      <c r="CF72" s="35">
        <v>1066</v>
      </c>
      <c r="CH72" s="24">
        <v>0</v>
      </c>
      <c r="CI72" s="3">
        <f>CF72-CD72</f>
        <v>1066</v>
      </c>
      <c r="CJ72" s="24">
        <f>CF72/CK72</f>
        <v>0.49766573295985062</v>
      </c>
      <c r="CK72" s="38">
        <v>2142</v>
      </c>
      <c r="CL72" s="10" t="s">
        <v>254</v>
      </c>
    </row>
    <row r="73" spans="1:90" x14ac:dyDescent="0.25">
      <c r="A73" t="s">
        <v>100</v>
      </c>
      <c r="B73" t="s">
        <v>101</v>
      </c>
      <c r="C73" t="s">
        <v>187</v>
      </c>
      <c r="D73" t="str">
        <f>CONCATENATE(B73, " ", C73)</f>
        <v>Mattawoman Creek (Tidal Fresh)</v>
      </c>
      <c r="E73">
        <v>49</v>
      </c>
      <c r="F73" s="3">
        <v>0</v>
      </c>
      <c r="G73" s="3"/>
      <c r="H73" s="3">
        <v>0</v>
      </c>
      <c r="I73" s="3"/>
      <c r="J73" s="3">
        <v>16.877613</v>
      </c>
      <c r="K73" s="3"/>
      <c r="L73" s="3">
        <v>7.0920569999999996</v>
      </c>
      <c r="M73" s="3"/>
      <c r="N73" s="3">
        <v>97.089518999999996</v>
      </c>
      <c r="O73" s="3"/>
      <c r="P73" s="3">
        <v>100.30194900000001</v>
      </c>
      <c r="Q73" s="3"/>
      <c r="R73" s="3">
        <v>149.84750399999999</v>
      </c>
      <c r="S73" s="3"/>
      <c r="T73" s="3">
        <v>143.24966699999999</v>
      </c>
      <c r="U73" s="3"/>
      <c r="V73" s="3">
        <v>134.13130799999999</v>
      </c>
      <c r="W73" s="3"/>
      <c r="X73" s="3">
        <v>67.139786999999998</v>
      </c>
      <c r="Y73" s="3"/>
      <c r="Z73" s="3">
        <v>28.022273999999999</v>
      </c>
      <c r="AA73" s="3"/>
      <c r="AB73" s="3">
        <v>108.92608799999999</v>
      </c>
      <c r="AC73" s="3"/>
      <c r="AD73" s="3">
        <v>124.24690799999999</v>
      </c>
      <c r="AE73" s="3"/>
      <c r="AF73" s="3">
        <v>162.919623</v>
      </c>
      <c r="AG73" s="3"/>
      <c r="AH73" s="3">
        <v>209.94465599999998</v>
      </c>
      <c r="AI73" s="3"/>
      <c r="AJ73" s="3">
        <v>330.73202399999997</v>
      </c>
      <c r="AK73" s="3"/>
      <c r="AL73" s="9">
        <v>0</v>
      </c>
      <c r="AM73" s="9" t="s">
        <v>108</v>
      </c>
      <c r="AN73" s="3">
        <v>792.6300359999999</v>
      </c>
      <c r="AO73" s="3"/>
      <c r="AP73" s="3">
        <v>611.89378199999999</v>
      </c>
      <c r="AQ73" s="3"/>
      <c r="AR73" s="3">
        <v>600.576144</v>
      </c>
      <c r="AS73" s="3"/>
      <c r="AT73" s="3">
        <v>769.74764999999991</v>
      </c>
      <c r="AU73" s="3"/>
      <c r="AV73" s="3">
        <v>814.00505099999998</v>
      </c>
      <c r="AW73" s="3"/>
      <c r="AX73" s="3">
        <v>833.37847499999998</v>
      </c>
      <c r="AY73" s="3"/>
      <c r="AZ73" s="3">
        <v>877.018101</v>
      </c>
      <c r="BA73" s="3"/>
      <c r="BB73" s="3">
        <v>865.74988499999995</v>
      </c>
      <c r="BC73" s="3"/>
      <c r="BD73" s="3">
        <v>759.91267199999993</v>
      </c>
      <c r="BE73" s="3"/>
      <c r="BF73" s="3">
        <v>704.38705500000003</v>
      </c>
      <c r="BG73" s="3"/>
      <c r="BH73" s="3">
        <v>537.78549299999997</v>
      </c>
      <c r="BI73" s="3"/>
      <c r="BJ73" s="3">
        <v>489.30251099999992</v>
      </c>
      <c r="BK73" s="3"/>
      <c r="BL73" s="3">
        <v>479.516955</v>
      </c>
      <c r="BM73" s="3"/>
      <c r="BN73" s="3">
        <v>667.27113299999985</v>
      </c>
      <c r="BO73" s="3"/>
      <c r="BP73" s="4">
        <v>686.64455699999996</v>
      </c>
      <c r="BQ73" s="4"/>
      <c r="BR73" s="4">
        <v>665.34367499999996</v>
      </c>
      <c r="BS73" s="4"/>
      <c r="BT73" s="3">
        <v>482.92707300000001</v>
      </c>
      <c r="BV73">
        <v>708.31610399999988</v>
      </c>
      <c r="BX73">
        <v>769.92062699999997</v>
      </c>
      <c r="BZ73">
        <v>842.47212300000001</v>
      </c>
      <c r="CB73">
        <v>767.12828399999989</v>
      </c>
      <c r="CD73" s="35">
        <v>775.68730550000009</v>
      </c>
      <c r="CE73" s="35"/>
      <c r="CF73" s="35">
        <v>872.13238699999999</v>
      </c>
      <c r="CG73" s="10"/>
      <c r="CH73" s="24">
        <f>(CF73-CD73)/CD73</f>
        <v>0.12433500047784382</v>
      </c>
      <c r="CI73" s="3">
        <f>CF73-CD73</f>
        <v>96.445081499999901</v>
      </c>
      <c r="CJ73" s="24">
        <f>CF73/CK73</f>
        <v>1.1011772563131312</v>
      </c>
      <c r="CK73" s="38">
        <v>792</v>
      </c>
      <c r="CL73" t="s">
        <v>203</v>
      </c>
    </row>
    <row r="74" spans="1:90" x14ac:dyDescent="0.25">
      <c r="A74" t="s">
        <v>102</v>
      </c>
      <c r="B74" t="s">
        <v>103</v>
      </c>
      <c r="C74" t="s">
        <v>187</v>
      </c>
      <c r="D74" t="str">
        <f>CONCATENATE(B74, " ", C74)</f>
        <v>Piscataway Creek (Tidal Fresh)</v>
      </c>
      <c r="E74">
        <v>50</v>
      </c>
      <c r="F74" s="3">
        <v>344.89142699999996</v>
      </c>
      <c r="G74" s="3"/>
      <c r="H74" s="3">
        <v>523.2060029999999</v>
      </c>
      <c r="I74" s="3"/>
      <c r="J74" s="3">
        <v>761.76599699999986</v>
      </c>
      <c r="K74" s="3"/>
      <c r="L74" s="3">
        <v>789.14578500000005</v>
      </c>
      <c r="M74" s="3"/>
      <c r="N74" s="3">
        <v>27.453920999999998</v>
      </c>
      <c r="O74" s="3"/>
      <c r="P74" s="3">
        <v>142.58247</v>
      </c>
      <c r="Q74" s="3"/>
      <c r="R74" s="3">
        <v>269.02865700000001</v>
      </c>
      <c r="S74" s="3"/>
      <c r="T74" s="3">
        <v>20.559552</v>
      </c>
      <c r="U74" s="3"/>
      <c r="V74" s="3">
        <v>36.992367000000002</v>
      </c>
      <c r="W74" s="3"/>
      <c r="X74" s="3">
        <v>76.109880000000004</v>
      </c>
      <c r="Y74" s="3"/>
      <c r="Z74" s="3">
        <v>81.571010999999984</v>
      </c>
      <c r="AA74" s="3"/>
      <c r="AB74" s="3">
        <v>125.754279</v>
      </c>
      <c r="AC74" s="3"/>
      <c r="AD74" s="3">
        <v>304.56307499999997</v>
      </c>
      <c r="AE74" s="3"/>
      <c r="AF74" s="3">
        <v>312.89068199999997</v>
      </c>
      <c r="AG74" s="3"/>
      <c r="AH74" s="3">
        <v>125.556591</v>
      </c>
      <c r="AI74" s="3"/>
      <c r="AJ74" s="3">
        <v>319.31554199999999</v>
      </c>
      <c r="AK74" s="3"/>
      <c r="AL74" s="7">
        <v>0</v>
      </c>
      <c r="AM74" s="7" t="s">
        <v>107</v>
      </c>
      <c r="AN74" s="3">
        <v>631.63787100000002</v>
      </c>
      <c r="AO74" s="3"/>
      <c r="AP74" s="3">
        <v>211.77327</v>
      </c>
      <c r="AQ74" s="3"/>
      <c r="AR74" s="3">
        <v>506.64963299999999</v>
      </c>
      <c r="AS74" s="3"/>
      <c r="AT74" s="3">
        <v>757.26859499999989</v>
      </c>
      <c r="AU74" s="3"/>
      <c r="AV74" s="3">
        <v>732.2363519999999</v>
      </c>
      <c r="AW74" s="3"/>
      <c r="AX74" s="3">
        <v>756.94735199999991</v>
      </c>
      <c r="AY74" s="3"/>
      <c r="AZ74" s="3">
        <v>764.58305100000007</v>
      </c>
      <c r="BA74" s="3"/>
      <c r="BB74" s="3">
        <v>274.04498999999998</v>
      </c>
      <c r="BC74" s="3"/>
      <c r="BD74" s="3">
        <v>522.95889299999999</v>
      </c>
      <c r="BE74" s="3"/>
      <c r="BF74" s="7">
        <v>0</v>
      </c>
      <c r="BG74" s="7" t="s">
        <v>107</v>
      </c>
      <c r="BH74" s="3">
        <v>252.24988799999997</v>
      </c>
      <c r="BI74" s="3"/>
      <c r="BJ74" s="3">
        <v>432.54134399999998</v>
      </c>
      <c r="BK74" s="3"/>
      <c r="BL74" s="3">
        <v>474.97013099999998</v>
      </c>
      <c r="BM74" s="3"/>
      <c r="BN74" s="3">
        <v>541.64040899999998</v>
      </c>
      <c r="BO74" s="3"/>
      <c r="BP74" s="8">
        <v>0</v>
      </c>
      <c r="BQ74" s="8" t="s">
        <v>107</v>
      </c>
      <c r="BR74" s="4">
        <v>346.99186199999997</v>
      </c>
      <c r="BS74" s="4"/>
      <c r="BT74" s="3">
        <v>0</v>
      </c>
      <c r="BU74" t="s">
        <v>107</v>
      </c>
      <c r="BV74">
        <v>36.893522999999995</v>
      </c>
      <c r="BX74">
        <v>63.037761000000003</v>
      </c>
      <c r="BZ74">
        <v>40.180086000000003</v>
      </c>
      <c r="CB74">
        <v>29.109557999999996</v>
      </c>
      <c r="CD74" s="35">
        <v>0</v>
      </c>
      <c r="CE74" s="35" t="s">
        <v>108</v>
      </c>
      <c r="CF74" s="35">
        <v>161.28543349999998</v>
      </c>
      <c r="CH74" s="24">
        <v>0</v>
      </c>
      <c r="CI74" s="3">
        <f>CF74-CD74</f>
        <v>161.28543349999998</v>
      </c>
      <c r="CJ74" s="24">
        <f>CF74/CK74</f>
        <v>0.20441753295310516</v>
      </c>
      <c r="CK74" s="38">
        <v>789</v>
      </c>
      <c r="CL74" s="10" t="s">
        <v>255</v>
      </c>
    </row>
    <row r="75" spans="1:90" x14ac:dyDescent="0.25">
      <c r="A75" t="s">
        <v>133</v>
      </c>
      <c r="B75" t="s">
        <v>134</v>
      </c>
      <c r="C75" t="s">
        <v>187</v>
      </c>
      <c r="D75" t="str">
        <f>CONCATENATE(B75, " ", C75)</f>
        <v>Anacostia River (Tidal Fresh)</v>
      </c>
      <c r="E75">
        <v>50.5</v>
      </c>
      <c r="F75" s="3">
        <v>0</v>
      </c>
      <c r="G75" s="3"/>
      <c r="H75" s="3">
        <v>0</v>
      </c>
      <c r="I75" s="3"/>
      <c r="J75" s="3">
        <v>0</v>
      </c>
      <c r="K75" s="3"/>
      <c r="L75" s="3">
        <v>0</v>
      </c>
      <c r="M75" s="3"/>
      <c r="N75" s="3">
        <v>0</v>
      </c>
      <c r="O75" s="3"/>
      <c r="P75" s="3">
        <v>0</v>
      </c>
      <c r="Q75" s="3"/>
      <c r="R75" s="3">
        <v>0</v>
      </c>
      <c r="S75" s="3"/>
      <c r="T75" s="3">
        <v>0</v>
      </c>
      <c r="U75" s="3"/>
      <c r="V75" s="3">
        <v>0</v>
      </c>
      <c r="W75" s="3"/>
      <c r="X75" s="3">
        <v>0</v>
      </c>
      <c r="Y75" s="3"/>
      <c r="Z75" s="3">
        <v>0</v>
      </c>
      <c r="AA75" s="3"/>
      <c r="AB75" s="3">
        <v>0</v>
      </c>
      <c r="AC75" s="3"/>
      <c r="AD75" s="3">
        <v>0</v>
      </c>
      <c r="AE75" s="3"/>
      <c r="AF75" s="3">
        <v>0</v>
      </c>
      <c r="AG75" s="3"/>
      <c r="AH75" s="3">
        <v>0</v>
      </c>
      <c r="AI75" s="3"/>
      <c r="AJ75" s="3">
        <v>0</v>
      </c>
      <c r="AK75" s="3"/>
      <c r="AL75" s="3">
        <v>0</v>
      </c>
      <c r="AM75" s="3"/>
      <c r="AN75" s="3">
        <v>0</v>
      </c>
      <c r="AO75" s="3"/>
      <c r="AP75" s="3">
        <v>0</v>
      </c>
      <c r="AQ75" s="3"/>
      <c r="AR75" s="3">
        <v>0</v>
      </c>
      <c r="AS75" s="3"/>
      <c r="AT75" s="3">
        <v>0</v>
      </c>
      <c r="AU75" s="3"/>
      <c r="AV75" s="3">
        <v>0</v>
      </c>
      <c r="AW75" s="3"/>
      <c r="AX75" s="3">
        <v>0</v>
      </c>
      <c r="AY75" s="3"/>
      <c r="AZ75" s="3">
        <v>0</v>
      </c>
      <c r="BA75" s="3"/>
      <c r="BB75" s="3">
        <v>0</v>
      </c>
      <c r="BC75" s="3"/>
      <c r="BD75" s="3">
        <v>0</v>
      </c>
      <c r="BE75" s="3"/>
      <c r="BF75" s="7">
        <v>0</v>
      </c>
      <c r="BG75" s="7" t="s">
        <v>107</v>
      </c>
      <c r="BH75" s="3">
        <v>0</v>
      </c>
      <c r="BI75" s="3"/>
      <c r="BJ75" s="3">
        <v>0</v>
      </c>
      <c r="BK75" s="3"/>
      <c r="BL75" s="3">
        <v>0</v>
      </c>
      <c r="BM75" s="3"/>
      <c r="BN75" s="3">
        <v>0</v>
      </c>
      <c r="BO75" s="3"/>
      <c r="BP75" s="4">
        <v>0</v>
      </c>
      <c r="BQ75" s="4"/>
      <c r="BR75" s="4">
        <v>0</v>
      </c>
      <c r="BS75" s="4"/>
      <c r="BT75" s="3">
        <v>0</v>
      </c>
      <c r="BU75" t="s">
        <v>107</v>
      </c>
      <c r="BV75">
        <v>0</v>
      </c>
      <c r="BX75">
        <v>0</v>
      </c>
      <c r="BZ75">
        <v>0</v>
      </c>
      <c r="CB75">
        <v>0</v>
      </c>
      <c r="CD75" s="35">
        <v>0</v>
      </c>
      <c r="CE75" s="35"/>
      <c r="CF75" s="35">
        <v>0</v>
      </c>
      <c r="CG75" s="10"/>
      <c r="CH75" s="24">
        <v>0</v>
      </c>
      <c r="CI75" s="3">
        <f>CF75-CD75</f>
        <v>0</v>
      </c>
      <c r="CK75" s="38">
        <v>0</v>
      </c>
      <c r="CL75" s="10" t="s">
        <v>213</v>
      </c>
    </row>
    <row r="76" spans="1:90" x14ac:dyDescent="0.25">
      <c r="B76" s="21" t="s">
        <v>217</v>
      </c>
      <c r="D76" t="str">
        <f>CONCATENATE(B76, " ", C76)</f>
        <v xml:space="preserve">Maryland Submerged Aquatic Vegetation (SAV) Abundance </v>
      </c>
      <c r="F76" s="6">
        <f>SUM(F4,F5,F8,F9,F10,F11,F14,F15,F18,F19:F34,F35:F44,F47,F50,F53,F54:F56,F63,F64:F67,F71,F72,F73,F74,F75)</f>
        <v>13697.060189999998</v>
      </c>
      <c r="G76" s="6" t="s">
        <v>108</v>
      </c>
      <c r="H76" s="4">
        <f>SUM(H4,H5,H8,H9,H10,H11,H14,H15,H18,H19:H34,H35:H44,H47,H50,H53,H54:H56,H63,H64:H67,H71,H72,H73,H74,H75)</f>
        <v>23994.282155999997</v>
      </c>
      <c r="I76" s="4"/>
      <c r="J76" s="6">
        <f>SUM(J4,J5,J8,J9,J10,J11,J14,J15,J18,J19:J34,J35:J44,J47,J50,J53,J54:J56,J63,J64:J67,J71,J72,J73,J74,J75)</f>
        <v>20836.809419999998</v>
      </c>
      <c r="K76" s="6" t="s">
        <v>108</v>
      </c>
      <c r="L76" s="4">
        <f>SUM(L4,L5,L8,L9,L10,L11,L14,L15,L18,L19:L34,L35:L44,L47,L50,L53,L54:L56,L63,L64:L67,L71,L72,L73,L74,L75)</f>
        <v>23609.655440999999</v>
      </c>
      <c r="M76" s="4"/>
      <c r="N76" s="4">
        <f>SUM(N4,N5,N8,N9,N10,N11,N14,N15,N18,N19:N34,N35:N44,N47,N50,N53,N54:N56,N63,N64:N67,N71,N72,N73,N74,N75)</f>
        <v>26127.335675999995</v>
      </c>
      <c r="O76" s="4"/>
      <c r="P76" s="4">
        <f>SUM(P4,P5,P8,P9,P10,P11,P14,P15,P18,P19:P34,P35:P44,P47,P50,P53,P54:P56,P63,P64:P67,P71,P72,P73,P74,P75)</f>
        <v>24452.992449000008</v>
      </c>
      <c r="Q76" s="4"/>
      <c r="R76" s="4">
        <f>SUM(R4,R5,R8,R9,R10,R11,R14,R15,R18,R19:R34,R35:R44,R47,R50,R53,R54:R56,R63,R64:R67,R71,R72,R73,R74,R75)</f>
        <v>24095.967920999996</v>
      </c>
      <c r="S76" s="4"/>
      <c r="T76" s="4">
        <f>SUM(T4,T5,T8,T9,T10,T11,T14,T15,T18,T19:T34,T35:T44,T47,T50,T53,T54:T56,T63,T64:T67,T71,T72,T73,T74,T75)</f>
        <v>30740.360444999998</v>
      </c>
      <c r="U76" s="4"/>
      <c r="V76" s="4">
        <f>SUM(V4,V5,V8,V9,V10,V11,V14,V15,V18,V19:V34,V35:V44,V47,V50,V53,V54:V56,V63,V64:V67,V71,V72,V73,V74,V75)</f>
        <v>32366.665487999995</v>
      </c>
      <c r="W76" s="4"/>
      <c r="X76" s="4">
        <f>SUM(X4,X5,X8,X9,X10,X11,X14,X15,X18,X19:X34,X35:X44,X47,X50,X53,X54:X56,X63,X64:X67,X71,X72,X73,X74,X75)</f>
        <v>29301.117672000004</v>
      </c>
      <c r="Y76" s="4"/>
      <c r="Z76" s="4">
        <f>SUM(Z4,Z5,Z8,Z9,Z10,Z11,Z14,Z15,Z18,Z19:Z34,Z35:Z44,Z47,Z50,Z53,Z54:Z56,Z63,Z64:Z67,Z71,Z72,Z73,Z74,Z75)</f>
        <v>25665.066998999999</v>
      </c>
      <c r="AA76" s="4"/>
      <c r="AB76" s="4">
        <f>SUM(AB4,AB5,AB8,AB9,AB10,AB11,AB14,AB15,AB18,AB19:AB34,AB35:AB44,AB47,AB50,AB53,AB54:AB56,AB63,AB64:AB67,AB71,AB72,AB73,AB74,AB75)</f>
        <v>28660.460286000001</v>
      </c>
      <c r="AC76" s="4"/>
      <c r="AD76" s="4">
        <f>SUM(AD4,AD5,AD8,AD9,AD10,AD11,AD14,AD15,AD18,AD19:AD34,AD35:AD44,AD47,AD50,AD53,AD54:AD56,AD63,AD64:AD67,AD71,AD72,AD73,AD74,AD75)</f>
        <v>34642.894541999995</v>
      </c>
      <c r="AE76" s="4"/>
      <c r="AF76" s="4">
        <f>SUM(AF4,AF5,AF8,AF9,AF10,AF11,AF14,AF15,AF18,AF19:AF34,AF35:AF44,AF47,AF50,AF53,AF54:AF56,AF63,AF64:AF67,AF71,AF72,AF73,AF74,AF75)</f>
        <v>30471.257655000001</v>
      </c>
      <c r="AG76" s="4"/>
      <c r="AH76" s="6">
        <f>SUM(AH4,AH5,AH8,AH9,AH10,AH11,AH14,AH15,AH18,AH19:AH34,AH35:AH44,AH47,AH50,AH53,AH54:AH56,AH63,AH64:AH67,AH71,AH72,AH73,AH74,AH75)</f>
        <v>33832.670274000004</v>
      </c>
      <c r="AI76" s="6" t="s">
        <v>108</v>
      </c>
      <c r="AJ76" s="4">
        <f>SUM(AJ4,AJ5,AJ8,AJ9,AJ10,AJ11,AJ14,AJ15,AJ18,AJ19:AJ34,AJ35:AJ44,AJ47,AJ50,AJ53,AJ54:AJ56,AJ63,AJ64:AJ67,AJ71,AJ72,AJ73,AJ74,AJ75)</f>
        <v>35456.108840999987</v>
      </c>
      <c r="AK76" s="4"/>
      <c r="AL76" s="6">
        <f>SUM(AL4,AL5,AL8,AL9,AL10,AL11,AL14,AL15,AL18,AL19:AL34,AL35:AL44,AL47,AL50,AL53,AL54:AL56,AL63,AL64:AL67,AL71,AL72,AL73,AL74,AL75)</f>
        <v>42328.386206999996</v>
      </c>
      <c r="AM76" s="6" t="s">
        <v>108</v>
      </c>
      <c r="AN76" s="4">
        <f>SUM(AN4,AN5,AN8,AN9,AN10,AN11,AN14,AN15,AN18,AN19:AN34,AN35:AN44,AN47,AN50,AN53,AN54:AN56,AN63,AN64:AN67,AN71,AN72,AN73,AN74,AN75)</f>
        <v>52347.164624999998</v>
      </c>
      <c r="AO76" s="4"/>
      <c r="AP76" s="6">
        <f>SUM(AP4,AP5,AP8,AP9,AP10,AP11,AP14,AP15,AP18,AP19:AP34,AP35:AP44,AP47,AP50,AP53,AP54:AP56,AP63,AP64:AP67,AP71,AP72,AP73,AP74,AP75)</f>
        <v>31010.674073999991</v>
      </c>
      <c r="AQ76" s="6" t="s">
        <v>108</v>
      </c>
      <c r="AR76" s="4">
        <f>SUM(AR4,AR5,AR8,AR9,AR10,AR11,AR14,AR15,AR18,AR19:AR34,AR35:AR44,AR47,AR50,AR53,AR54:AR56,AR63,AR64:AR67,AR71,AR72,AR73,AR74,AR75)</f>
        <v>44610.002259000008</v>
      </c>
      <c r="AS76" s="4"/>
      <c r="AT76" s="4">
        <f>SUM(AT4,AT5,AT8,AT9,AT10,AT11,AT14,AT15,AT18,AT19:AT34,AT35:AT44,AT47,AT50,AT53,AT54:AT56,AT63,AT64:AT67,AT71,AT72,AT73,AT74,AT75)</f>
        <v>44171.110188000006</v>
      </c>
      <c r="AU76" s="4"/>
      <c r="AV76" s="4">
        <f>SUM(AV4,AV5,AV8,AV9,AV10,AV11,AV14,AV15,AV18,AV19:AV34,AV35:AV44,AV47,AV50,AV53,AV54:AV56,AV63,AV64:AV67,AV71,AV72,AV73,AV74,AV75)</f>
        <v>32571.000747000002</v>
      </c>
      <c r="AW76" s="4"/>
      <c r="AX76" s="4">
        <f>SUM(AX4,AX5,AX8,AX9,AX10,AX11,AX14,AX15,AX18,AX19:AX34,AX35:AX44,AX47,AX50,AX53,AX54:AX56,AX63,AX64:AX67,AX71,AX72,AX73,AX74,AX75)</f>
        <v>34878.983435999995</v>
      </c>
      <c r="AY76" s="4"/>
      <c r="AZ76" s="4">
        <f>SUM(AZ4,AZ5,AZ8,AZ9,AZ10,AZ11,AZ14,AZ15,AZ18,AZ19:AZ34,AZ35:AZ44,AZ47,AZ50,AZ53,AZ54:AZ56,AZ63,AZ64:AZ67,AZ71,AZ72,AZ73,AZ74,AZ75)</f>
        <v>42092.149046999992</v>
      </c>
      <c r="BA76" s="4"/>
      <c r="BB76" s="4">
        <f>SUM(BB4,BB5,BB8,BB9,BB10,BB11,BB14,BB15,BB18,BB19:BB34,BB35:BB44,BB47,BB50,BB53,BB54:BB56,BB63,BB64:BB67,BB71,BB72,BB73,BB74,BB75)</f>
        <v>47152.912425000002</v>
      </c>
      <c r="BC76" s="4"/>
      <c r="BD76" s="4">
        <f>SUM(BD4,BD5,BD8,BD9,BD10,BD11,BD14,BD15,BD18,BD19:BD34,BD35:BD44,BD47,BD50,BD53,BD54:BD56,BD63,BD64:BD67,BD71,BD72,BD73,BD74,BD75)</f>
        <v>40053.343280999979</v>
      </c>
      <c r="BE76" s="4"/>
      <c r="BF76" s="6">
        <f>SUM(BF4,BF5,BF8,BF9,BF10,BF11,BF14,BF15,BF18,BF19:BF34,BF35:BF44,BF47,BF50,BF53,BF54:BF56,BF63,BF64:BF67,BF71,BF72,BF73,BF74,BF75)</f>
        <v>32072.678720999997</v>
      </c>
      <c r="BG76" s="6" t="s">
        <v>108</v>
      </c>
      <c r="BH76" s="4">
        <f>SUM(BH4,BH5,BH8,BH9,BH10,BH11,BH14,BH15,BH18,BH19:BH34,BH35:BH44,BH47,BH50,BH53,BH54:BH56,BH63,BH64:BH67,BH71,BH72,BH73,BH74,BH75)</f>
        <v>24508.913441999997</v>
      </c>
      <c r="BI76" s="4"/>
      <c r="BJ76" s="4">
        <f>SUM(BJ4,BJ5,BJ8,BJ9,BJ10,BJ11,BJ14,BJ15,BJ18,BJ19:BJ34,BJ35:BJ44,BJ47,BJ50,BJ53,BJ54:BJ56,BJ63,BJ64:BJ67,BJ71,BJ72,BJ73,BJ74,BJ75)</f>
        <v>28814.854614000003</v>
      </c>
      <c r="BK76" s="4"/>
      <c r="BL76" s="4">
        <f>SUM(BL4,BL5,BL8,BL9,BL10,BL11,BL14,BL15,BL18,BL19:BL34,BL35:BL44,BL47,BL50,BL53,BL54:BL56,BL63,BL64:BL67,BL71,BL72,BL73,BL74,BL75)</f>
        <v>39399.910307999999</v>
      </c>
      <c r="BM76" s="4"/>
      <c r="BN76" s="4">
        <f>SUM(BN4,BN5,BN8,BN9,BN10,BN11,BN14,BN15,BN18,BN19:BN34,BN35:BN44,BN47,BN50,BN53,BN54:BN56,BN63,BN64:BN67,BN71,BN72,BN73,BN74,BN75)</f>
        <v>53783.219679000009</v>
      </c>
      <c r="BO76" s="4"/>
      <c r="BP76" s="6">
        <f>SUM(BP4,BP5,BP8,BP9,BP10,BP11,BP14,BP15,BP18,BP19:BP34,BP35:BP44,BP47,BP50,BP53,BP54:BP56,BP63,BP64:BP67,BP71,BP72,BP73,BP74,BP75)</f>
        <v>59276.969199000006</v>
      </c>
      <c r="BQ76" s="6" t="s">
        <v>108</v>
      </c>
      <c r="BR76" s="20">
        <f>SUM(BR2:BR3,BR5:BR7,BR9:BR13,BR15:BR17,BR19:BR46,BR48:BR49,BR51:BR52,BR54:BR62,BR64:BR70,BR72:BR75)</f>
        <v>62355.737399999991</v>
      </c>
      <c r="BS76" s="20"/>
      <c r="BT76" s="20">
        <f>SUM(BT2:BT3,BT5:BT7,BT9:BT13,BT15:BT17,BT19:BT46,BT48:BT49,BT51:BT52,BT54:BT62,BT64:BT70,BT72:BT75)</f>
        <v>56993.994041999991</v>
      </c>
      <c r="BU76" s="20" t="s">
        <v>108</v>
      </c>
      <c r="BV76" s="20">
        <v>39264.222206999992</v>
      </c>
      <c r="BW76" s="20"/>
      <c r="BX76" s="20">
        <f>SUM(BX4,BX5,BX8,BX9,BX10,BX11,BX14,BX15,BX18,BX19:BX44,BX47,BX50,BX53,BX54:BX56,BX63,BX64:BX67,BX71,BX72:BX75)</f>
        <v>35266.476626999989</v>
      </c>
      <c r="BY76" s="20"/>
      <c r="BZ76" s="20">
        <f>SUM(BZ4,BZ5,BZ8,BZ9,BZ10,BZ11,BZ14,BZ15,BZ18,BZ19:BZ44,BZ47,BZ50,BZ53,BZ54:BZ56,BZ63,BZ64:BZ67,BZ71,BZ72:BZ75)</f>
        <v>35193.801575999991</v>
      </c>
      <c r="CA76" s="20"/>
      <c r="CB76" s="20">
        <f>SUM(CB4,CB5,CB8,CB9,CB10,CB11,CB14,CB15,CB18,CB19:CB44,CB47,CB50,CB53,CB54:CB56,CB63,CB64:CB67,CB71,CB72:CB75)</f>
        <v>37737.94729199999</v>
      </c>
      <c r="CD76" s="34">
        <f>SUM(CD2,CD3,CD5,CD6,CD7,CD9,CD10,CD11,CD12,CD13,CD15,CD16,CD17,CD19:CD46,CD48:CD49,CD51:CD52,CD54:CD62,CD64:CD70,CD72:CD75)</f>
        <v>38188.372725499998</v>
      </c>
      <c r="CE76" s="34"/>
      <c r="CF76" s="34">
        <f>SUM(CF2,CF3,CF5,CF6,CF7,CF9,CF10,CF11,CF12,CF13,CF15,CF16,CF17,CF19:CF46,CF48:CF49,CF51:CF52,CF54:CF62,CF64:CF70,CF72:CF75)</f>
        <v>36799.586008499995</v>
      </c>
      <c r="CH76" s="24">
        <f>(CF76-CD76)/CD76</f>
        <v>-3.6366742489465934E-2</v>
      </c>
      <c r="CI76" s="3">
        <f>CF76-CD76</f>
        <v>-1388.7867170000027</v>
      </c>
      <c r="CJ76" s="24">
        <f>CF76/CK76</f>
        <v>0.32261943636084683</v>
      </c>
      <c r="CK76" s="38">
        <v>114065</v>
      </c>
      <c r="CL76" s="10" t="s">
        <v>222</v>
      </c>
    </row>
    <row r="77" spans="1:90" x14ac:dyDescent="0.25">
      <c r="BR77" s="4"/>
    </row>
    <row r="78" spans="1:90" x14ac:dyDescent="0.25">
      <c r="BR78" s="4"/>
      <c r="CB78" s="20"/>
    </row>
    <row r="79" spans="1:90" x14ac:dyDescent="0.25">
      <c r="BR79" s="4"/>
    </row>
    <row r="80" spans="1:90" x14ac:dyDescent="0.25">
      <c r="BR80" s="4"/>
      <c r="CD80" s="36"/>
      <c r="CE80" s="36"/>
      <c r="CF80" s="36"/>
    </row>
    <row r="81" spans="70:88" x14ac:dyDescent="0.25">
      <c r="BR81" s="6"/>
    </row>
    <row r="82" spans="70:88" x14ac:dyDescent="0.25">
      <c r="BR82" s="4"/>
      <c r="BX82" s="3"/>
      <c r="CB82" s="3"/>
    </row>
    <row r="83" spans="70:88" x14ac:dyDescent="0.25">
      <c r="BR83" s="8"/>
    </row>
    <row r="84" spans="70:88" x14ac:dyDescent="0.25">
      <c r="BR84" s="4"/>
    </row>
    <row r="85" spans="70:88" x14ac:dyDescent="0.25">
      <c r="BR85" s="6"/>
      <c r="BZ85" s="20"/>
      <c r="CA85" s="20"/>
      <c r="CH85" s="25"/>
      <c r="CI85" s="20"/>
      <c r="CJ85" s="25"/>
    </row>
  </sheetData>
  <conditionalFormatting sqref="CH1:CH1048576">
    <cfRule type="cellIs" dxfId="4" priority="6" operator="lessThan">
      <formula>-0.25</formula>
    </cfRule>
    <cfRule type="cellIs" dxfId="3" priority="7" operator="greaterThan">
      <formula>0.25</formula>
    </cfRule>
  </conditionalFormatting>
  <conditionalFormatting sqref="CJ1:CJ1048576">
    <cfRule type="cellIs" dxfId="2" priority="1" operator="greaterThan">
      <formula>1</formula>
    </cfRule>
    <cfRule type="cellIs" dxfId="1" priority="2" operator="between">
      <formula>0.75</formula>
      <formula>1</formula>
    </cfRule>
    <cfRule type="cellIs" dxfId="0" priority="3" operator="between">
      <formula>75</formula>
      <formula>99</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5"/>
  <sheetViews>
    <sheetView tabSelected="1" workbookViewId="0">
      <selection activeCell="AP4" sqref="AP4"/>
    </sheetView>
  </sheetViews>
  <sheetFormatPr defaultRowHeight="12.75" x14ac:dyDescent="0.2"/>
  <cols>
    <col min="1" max="1" width="12.7109375" bestFit="1" customWidth="1"/>
    <col min="2" max="2" width="51.5703125" customWidth="1"/>
  </cols>
  <sheetData>
    <row r="1" spans="1:43" x14ac:dyDescent="0.2">
      <c r="A1">
        <v>17</v>
      </c>
      <c r="B1" t="str">
        <f>"Data for " &amp; A3</f>
        <v>Data for GUNOH</v>
      </c>
      <c r="AQ1" s="26" t="s">
        <v>230</v>
      </c>
    </row>
    <row r="2" spans="1:43" s="2" customFormat="1" ht="15" x14ac:dyDescent="0.25">
      <c r="A2" t="s">
        <v>104</v>
      </c>
      <c r="B2" t="s">
        <v>105</v>
      </c>
      <c r="C2">
        <v>1984</v>
      </c>
      <c r="D2">
        <v>1985</v>
      </c>
      <c r="E2">
        <v>1986</v>
      </c>
      <c r="F2">
        <v>1987</v>
      </c>
      <c r="G2">
        <v>1989</v>
      </c>
      <c r="H2">
        <v>1990</v>
      </c>
      <c r="I2">
        <v>1991</v>
      </c>
      <c r="J2">
        <v>1992</v>
      </c>
      <c r="K2">
        <v>1993</v>
      </c>
      <c r="L2">
        <v>1994</v>
      </c>
      <c r="M2">
        <v>1995</v>
      </c>
      <c r="N2">
        <v>1996</v>
      </c>
      <c r="O2">
        <v>1997</v>
      </c>
      <c r="P2">
        <v>1998</v>
      </c>
      <c r="Q2">
        <v>1999</v>
      </c>
      <c r="R2">
        <v>2000</v>
      </c>
      <c r="S2">
        <v>2001</v>
      </c>
      <c r="T2">
        <v>2002</v>
      </c>
      <c r="U2">
        <v>2003</v>
      </c>
      <c r="V2">
        <v>2004</v>
      </c>
      <c r="W2">
        <v>2005</v>
      </c>
      <c r="X2">
        <v>2006</v>
      </c>
      <c r="Y2">
        <v>2007</v>
      </c>
      <c r="Z2">
        <v>2008</v>
      </c>
      <c r="AA2">
        <v>2009</v>
      </c>
      <c r="AB2">
        <v>2010</v>
      </c>
      <c r="AC2">
        <v>2011</v>
      </c>
      <c r="AD2">
        <v>2012</v>
      </c>
      <c r="AE2">
        <v>2013</v>
      </c>
      <c r="AF2">
        <v>2014</v>
      </c>
      <c r="AG2">
        <v>2015</v>
      </c>
      <c r="AH2">
        <v>2016</v>
      </c>
      <c r="AI2">
        <v>2017</v>
      </c>
      <c r="AJ2" s="2">
        <v>2018</v>
      </c>
      <c r="AK2" s="2">
        <v>2019</v>
      </c>
      <c r="AL2" s="2">
        <v>2020</v>
      </c>
      <c r="AM2" s="2">
        <v>2021</v>
      </c>
      <c r="AN2" s="2">
        <v>2022</v>
      </c>
      <c r="AO2" s="2">
        <v>2023</v>
      </c>
      <c r="AP2" s="2">
        <v>2024</v>
      </c>
    </row>
    <row r="3" spans="1:43" x14ac:dyDescent="0.2">
      <c r="A3" t="str">
        <f>INDEX('data for graphs'!A2:A76,$A$1)</f>
        <v>GUNOH</v>
      </c>
      <c r="B3" t="str">
        <f>INDEX('data for graphs'!D2:D76,$A$1)</f>
        <v>Gunpowder River (Oligohaline)</v>
      </c>
      <c r="C3">
        <f>INDEX('data for graphs'!F2:F76,$A$1)</f>
        <v>0</v>
      </c>
      <c r="D3">
        <f>INDEX('data for graphs'!H2:H76,$A$1)</f>
        <v>117.92089199999999</v>
      </c>
      <c r="E3">
        <f>INDEX('data for graphs'!J2:J76,$A$1)</f>
        <v>0</v>
      </c>
      <c r="F3">
        <f>INDEX('data for graphs'!L2:L76,$A$1)</f>
        <v>88.317114000000004</v>
      </c>
      <c r="G3">
        <f>INDEX('data for graphs'!N2:N76,$A$1)</f>
        <v>60.665504999999996</v>
      </c>
      <c r="H3">
        <f>INDEX('data for graphs'!P2:P76,$A$1)</f>
        <v>213.848994</v>
      </c>
      <c r="I3">
        <f>INDEX('data for graphs'!R2:R76,$A$1)</f>
        <v>201.76531499999996</v>
      </c>
      <c r="J3">
        <f>INDEX('data for graphs'!T2:T76,$A$1)</f>
        <v>311.556288</v>
      </c>
      <c r="K3">
        <f>INDEX('data for graphs'!V2:V76,$A$1)</f>
        <v>115.15325999999999</v>
      </c>
      <c r="L3">
        <f>INDEX('data for graphs'!X2:X76,$A$1)</f>
        <v>220.54567499999996</v>
      </c>
      <c r="M3">
        <f>INDEX('data for graphs'!Z2:Z76,$A$1)</f>
        <v>168.65257499999998</v>
      </c>
      <c r="N3">
        <f>INDEX('data for graphs'!AB2:AB76,$A$1)</f>
        <v>918.90324599999997</v>
      </c>
      <c r="O3">
        <f>INDEX('data for graphs'!AD2:AD76,$A$1)</f>
        <v>1575.029718</v>
      </c>
      <c r="P3">
        <f>INDEX('data for graphs'!AF2:AF76,$A$1)</f>
        <v>2151.6361919999999</v>
      </c>
      <c r="Q3">
        <f>INDEX('data for graphs'!AH2:AH76,$A$1)</f>
        <v>307.75079399999998</v>
      </c>
      <c r="R3">
        <f>INDEX('data for graphs'!AJ2:AJ76,$A$1)</f>
        <v>2433.0450599999999</v>
      </c>
      <c r="S3">
        <f>INDEX('data for graphs'!AL2:AL76,$A$1)</f>
        <v>0</v>
      </c>
      <c r="T3">
        <f>INDEX('data for graphs'!AN2:AN76,$A$1)</f>
        <v>463.08413999999999</v>
      </c>
      <c r="U3">
        <f>INDEX('data for graphs'!AP2:AP76,$A$1)</f>
        <v>489.154245</v>
      </c>
      <c r="V3">
        <f>INDEX('data for graphs'!AR2:AR76,$A$1)</f>
        <v>2391.0363600000001</v>
      </c>
      <c r="W3">
        <f>INDEX('data for graphs'!AT2:AT76,$A$1)</f>
        <v>1733.0318520000001</v>
      </c>
      <c r="X3">
        <f>INDEX('data for graphs'!AV2:AV76,$A$1)</f>
        <v>842.81807700000002</v>
      </c>
      <c r="Y3">
        <f>INDEX('data for graphs'!AX2:AX76,$A$1)</f>
        <v>1464.6209699999999</v>
      </c>
      <c r="Z3">
        <f>INDEX('data for graphs'!AZ2:AZ76,$A$1)</f>
        <v>1719.2925359999999</v>
      </c>
      <c r="AA3">
        <f>INDEX('data for graphs'!BB2:BB76,$A$1)</f>
        <v>1887.6732899999997</v>
      </c>
      <c r="AB3">
        <f>INDEX('data for graphs'!BD2:BD76,$A$1)</f>
        <v>1729.9676879999997</v>
      </c>
      <c r="AC3">
        <f>INDEX('data for graphs'!BF2:BF76,$A$1)</f>
        <v>1386.0647009999998</v>
      </c>
      <c r="AD3">
        <f>INDEX('data for graphs'!BH2:BH76,$A$1)</f>
        <v>770.66195700000003</v>
      </c>
      <c r="AE3">
        <f>INDEX('data for graphs'!BJ2:BJ76,$A$1)</f>
        <v>799.07960700000001</v>
      </c>
      <c r="AF3">
        <f>INDEX('data for graphs'!BL2:BL76,$A$1)</f>
        <v>916.50627899999995</v>
      </c>
      <c r="AG3">
        <f>INDEX('data for graphs'!BN2:BN76,$A$1)</f>
        <v>1236.4148849999999</v>
      </c>
      <c r="AH3">
        <f>INDEX('data for graphs'!BP2:BP76,$A$1)</f>
        <v>920.28706199999988</v>
      </c>
      <c r="AI3">
        <f>INDEX('data for graphs'!BR2:BR76,$A$1)</f>
        <v>1219.3148729999998</v>
      </c>
      <c r="AJ3">
        <f>INDEX('data for graphs'!BT2:BT76,$A$1)</f>
        <v>1514.092392</v>
      </c>
      <c r="AK3">
        <f>INDEX('data for graphs'!BV2:BV76,$A$1)</f>
        <v>2038.6574999999998</v>
      </c>
      <c r="AL3">
        <f>INDEX('data for graphs'!BX2:BX76,$A$1)</f>
        <v>2137.4273670000002</v>
      </c>
      <c r="AM3">
        <f>INDEX('data for graphs'!BZ2:BZ76,$A$1)</f>
        <v>2164.0905359999997</v>
      </c>
      <c r="AN3">
        <f>INDEX('data for graphs'!CB2:CB76,$A$1)</f>
        <v>1285.9604399999998</v>
      </c>
      <c r="AO3">
        <f>INDEX('data for graphs'!CD2:CD76,$A$1)</f>
        <v>207.29638449999999</v>
      </c>
      <c r="AP3">
        <f>INDEX('data for graphs'!CF2:CF76,$A$1)</f>
        <v>466.48859299999998</v>
      </c>
    </row>
    <row r="4" spans="1:43" x14ac:dyDescent="0.2">
      <c r="A4" t="str">
        <f>INDEX('data for graphs'!A2:A76,$A$1)</f>
        <v>GUNOH</v>
      </c>
      <c r="B4" s="10" t="s">
        <v>167</v>
      </c>
      <c r="C4">
        <f>INDEX('data for graphs'!$CK$2:$CK$76,$A$1)</f>
        <v>2432</v>
      </c>
      <c r="D4">
        <f>INDEX('data for graphs'!$CK$2:$CK$76,$A$1)</f>
        <v>2432</v>
      </c>
      <c r="E4">
        <f>INDEX('data for graphs'!$CK$2:$CK$76,$A$1)</f>
        <v>2432</v>
      </c>
      <c r="F4">
        <f>INDEX('data for graphs'!$CK$2:$CK$76,$A$1)</f>
        <v>2432</v>
      </c>
      <c r="G4">
        <f>INDEX('data for graphs'!$CK$2:$CK$76,$A$1)</f>
        <v>2432</v>
      </c>
      <c r="H4">
        <f>INDEX('data for graphs'!$CK$2:$CK$76,$A$1)</f>
        <v>2432</v>
      </c>
      <c r="I4">
        <f>INDEX('data for graphs'!$CK$2:$CK$76,$A$1)</f>
        <v>2432</v>
      </c>
      <c r="J4">
        <f>INDEX('data for graphs'!$CK$2:$CK$76,$A$1)</f>
        <v>2432</v>
      </c>
      <c r="K4">
        <f>INDEX('data for graphs'!$CK$2:$CK$76,$A$1)</f>
        <v>2432</v>
      </c>
      <c r="L4">
        <f>INDEX('data for graphs'!$CK$2:$CK$76,$A$1)</f>
        <v>2432</v>
      </c>
      <c r="M4">
        <f>INDEX('data for graphs'!$CK$2:$CK$76,$A$1)</f>
        <v>2432</v>
      </c>
      <c r="N4">
        <f>INDEX('data for graphs'!$CK$2:$CK$76,$A$1)</f>
        <v>2432</v>
      </c>
      <c r="O4">
        <f>INDEX('data for graphs'!$CK$2:$CK$76,$A$1)</f>
        <v>2432</v>
      </c>
      <c r="P4">
        <f>INDEX('data for graphs'!$CK$2:$CK$76,$A$1)</f>
        <v>2432</v>
      </c>
      <c r="Q4">
        <f>INDEX('data for graphs'!$CK$2:$CK$76,$A$1)</f>
        <v>2432</v>
      </c>
      <c r="R4">
        <f>INDEX('data for graphs'!$CK$2:$CK$76,$A$1)</f>
        <v>2432</v>
      </c>
      <c r="S4">
        <f>INDEX('data for graphs'!$CK$2:$CK$76,$A$1)</f>
        <v>2432</v>
      </c>
      <c r="T4">
        <f>INDEX('data for graphs'!$CK$2:$CK$76,$A$1)</f>
        <v>2432</v>
      </c>
      <c r="U4">
        <f>INDEX('data for graphs'!$CK$2:$CK$76,$A$1)</f>
        <v>2432</v>
      </c>
      <c r="V4">
        <f>INDEX('data for graphs'!$CK$2:$CK$76,$A$1)</f>
        <v>2432</v>
      </c>
      <c r="W4">
        <f>INDEX('data for graphs'!$CK$2:$CK$76,$A$1)</f>
        <v>2432</v>
      </c>
      <c r="X4">
        <f>INDEX('data for graphs'!$CK$2:$CK$76,$A$1)</f>
        <v>2432</v>
      </c>
      <c r="Y4">
        <f>INDEX('data for graphs'!$CK$2:$CK$76,$A$1)</f>
        <v>2432</v>
      </c>
      <c r="Z4">
        <f>INDEX('data for graphs'!$CK$2:$CK$76,$A$1)</f>
        <v>2432</v>
      </c>
      <c r="AA4">
        <f>INDEX('data for graphs'!$CK$2:$CK$76,$A$1)</f>
        <v>2432</v>
      </c>
      <c r="AB4">
        <f>INDEX('data for graphs'!$CK$2:$CK$76,$A$1)</f>
        <v>2432</v>
      </c>
      <c r="AC4">
        <f>INDEX('data for graphs'!$CK$2:$CK$76,$A$1)</f>
        <v>2432</v>
      </c>
      <c r="AD4">
        <f>INDEX('data for graphs'!$CK$2:$CK$76,$A$1)</f>
        <v>2432</v>
      </c>
      <c r="AE4">
        <f>INDEX('data for graphs'!$CK$2:$CK$76,$A$1)</f>
        <v>2432</v>
      </c>
      <c r="AF4">
        <f>INDEX('data for graphs'!$CK$2:$CK$76,$A$1)</f>
        <v>2432</v>
      </c>
      <c r="AG4">
        <f>INDEX('data for graphs'!$CK$2:$CK$76,$A$1)</f>
        <v>2432</v>
      </c>
      <c r="AH4">
        <f>INDEX('data for graphs'!$CK$2:$CK$76,$A$1)</f>
        <v>2432</v>
      </c>
      <c r="AI4">
        <f>INDEX('data for graphs'!$CK$2:$CK$76,$A$1)</f>
        <v>2432</v>
      </c>
      <c r="AJ4">
        <f>INDEX('data for graphs'!$CK$2:$CK$76,$A$1)</f>
        <v>2432</v>
      </c>
      <c r="AK4">
        <f>INDEX('data for graphs'!$CK$2:$CK$76,$A$1)</f>
        <v>2432</v>
      </c>
      <c r="AL4">
        <f>INDEX('data for graphs'!$CK$2:$CK$76,$A$1)</f>
        <v>2432</v>
      </c>
      <c r="AM4">
        <f>INDEX('data for graphs'!$CK$2:$CK$76,$A$1)</f>
        <v>2432</v>
      </c>
      <c r="AN4">
        <f>INDEX('data for graphs'!$CK$2:$CK$76,$A$1)</f>
        <v>2432</v>
      </c>
      <c r="AO4">
        <f>INDEX('data for graphs'!$CK$2:$CK$76,$A$1)</f>
        <v>2432</v>
      </c>
      <c r="AP4">
        <f>INDEX('data for graphs'!$CK$2:$CK$76,$A$1)</f>
        <v>2432</v>
      </c>
    </row>
    <row r="5" spans="1:43" ht="14.25" x14ac:dyDescent="0.2">
      <c r="A5" t="str">
        <f>INDEX('data for graphs'!A2:A76,$A$1)</f>
        <v>GUNOH</v>
      </c>
      <c r="B5" s="10" t="str">
        <f>INDEX('data for graphs'!CL2:CL76&amp;" ",$A$1)</f>
        <v xml:space="preserve">Partial data for 1984, 1986, 1999; No data for 2001 </v>
      </c>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row>
    <row r="6" spans="1:43" ht="14.25" x14ac:dyDescent="0.2">
      <c r="A6" t="str">
        <f>INDEX('data for graphs'!A3:A77,$A$1)</f>
        <v>MIDOH</v>
      </c>
      <c r="B6" s="10" t="s">
        <v>215</v>
      </c>
      <c r="C6" s="19">
        <v>57000</v>
      </c>
      <c r="D6" s="19">
        <v>57000</v>
      </c>
      <c r="E6" s="19">
        <v>57000</v>
      </c>
      <c r="F6" s="19">
        <v>57000</v>
      </c>
      <c r="G6" s="19">
        <v>57000</v>
      </c>
      <c r="H6" s="19">
        <v>57000</v>
      </c>
      <c r="I6" s="19">
        <v>57000</v>
      </c>
      <c r="J6" s="19">
        <v>57000</v>
      </c>
      <c r="K6" s="19">
        <v>57000</v>
      </c>
      <c r="L6" s="19">
        <v>57000</v>
      </c>
      <c r="M6" s="19">
        <v>57000</v>
      </c>
      <c r="N6" s="19">
        <v>57000</v>
      </c>
      <c r="O6" s="19">
        <v>57000</v>
      </c>
      <c r="P6" s="19">
        <v>57000</v>
      </c>
      <c r="Q6" s="19">
        <v>57000</v>
      </c>
      <c r="R6" s="19">
        <v>57000</v>
      </c>
      <c r="S6" s="19">
        <v>57000</v>
      </c>
      <c r="T6" s="19">
        <v>57000</v>
      </c>
      <c r="U6" s="19">
        <v>57000</v>
      </c>
      <c r="V6" s="19">
        <v>57000</v>
      </c>
      <c r="W6" s="19">
        <v>57000</v>
      </c>
      <c r="X6" s="19">
        <v>57000</v>
      </c>
      <c r="Y6" s="19">
        <v>57000</v>
      </c>
      <c r="Z6" s="19">
        <v>57000</v>
      </c>
      <c r="AA6" s="19">
        <v>57000</v>
      </c>
      <c r="AB6" s="19">
        <v>57000</v>
      </c>
      <c r="AC6" s="19">
        <v>57000</v>
      </c>
      <c r="AD6" s="19">
        <v>57000</v>
      </c>
      <c r="AE6" s="19">
        <v>57000</v>
      </c>
      <c r="AF6" s="19">
        <v>57000</v>
      </c>
      <c r="AG6" s="19">
        <v>57000</v>
      </c>
      <c r="AH6" s="19">
        <v>57000</v>
      </c>
      <c r="AI6" s="19">
        <v>57000</v>
      </c>
      <c r="AJ6" s="19">
        <v>57000</v>
      </c>
      <c r="AK6" s="19">
        <v>57000</v>
      </c>
      <c r="AL6" s="19">
        <v>57000</v>
      </c>
      <c r="AM6" s="19">
        <v>57000</v>
      </c>
      <c r="AN6" s="19">
        <v>57000</v>
      </c>
      <c r="AO6" s="19">
        <v>57000</v>
      </c>
      <c r="AP6" s="19">
        <v>57000</v>
      </c>
    </row>
    <row r="7" spans="1:43" ht="14.25" x14ac:dyDescent="0.2">
      <c r="A7" t="str">
        <f>INDEX('data for graphs'!A4:A78,$A$1)</f>
        <v>BACOH</v>
      </c>
      <c r="B7" s="10" t="s">
        <v>216</v>
      </c>
      <c r="C7" s="19">
        <v>79800</v>
      </c>
      <c r="D7" s="19">
        <v>79800</v>
      </c>
      <c r="E7" s="19">
        <v>79800</v>
      </c>
      <c r="F7" s="19">
        <v>79800</v>
      </c>
      <c r="G7" s="19">
        <v>79800</v>
      </c>
      <c r="H7" s="19">
        <v>79800</v>
      </c>
      <c r="I7" s="19">
        <v>79800</v>
      </c>
      <c r="J7" s="19">
        <v>79800</v>
      </c>
      <c r="K7" s="19">
        <v>79800</v>
      </c>
      <c r="L7" s="19">
        <v>79800</v>
      </c>
      <c r="M7" s="19">
        <v>79800</v>
      </c>
      <c r="N7" s="19">
        <v>79800</v>
      </c>
      <c r="O7" s="19">
        <v>79800</v>
      </c>
      <c r="P7" s="19">
        <v>79800</v>
      </c>
      <c r="Q7" s="19">
        <v>79800</v>
      </c>
      <c r="R7" s="19">
        <v>79800</v>
      </c>
      <c r="S7" s="19">
        <v>79800</v>
      </c>
      <c r="T7" s="19">
        <v>79800</v>
      </c>
      <c r="U7" s="19">
        <v>79800</v>
      </c>
      <c r="V7" s="19">
        <v>79800</v>
      </c>
      <c r="W7" s="19">
        <v>79800</v>
      </c>
      <c r="X7" s="19">
        <v>79800</v>
      </c>
      <c r="Y7" s="19">
        <v>79800</v>
      </c>
      <c r="Z7" s="19">
        <v>79800</v>
      </c>
      <c r="AA7" s="19">
        <v>79800</v>
      </c>
      <c r="AB7" s="19">
        <v>79800</v>
      </c>
      <c r="AC7" s="19">
        <v>79800</v>
      </c>
      <c r="AD7" s="19">
        <v>79800</v>
      </c>
      <c r="AE7" s="19">
        <v>79800</v>
      </c>
      <c r="AF7" s="19">
        <v>79800</v>
      </c>
      <c r="AG7" s="19">
        <v>79800</v>
      </c>
      <c r="AH7" s="19">
        <v>79800</v>
      </c>
      <c r="AI7" s="19">
        <v>79800</v>
      </c>
      <c r="AJ7" s="19">
        <v>79800</v>
      </c>
      <c r="AK7" s="19">
        <v>79800</v>
      </c>
      <c r="AL7" s="19">
        <v>79800</v>
      </c>
      <c r="AM7" s="19">
        <v>79800</v>
      </c>
      <c r="AN7" s="19">
        <v>79800</v>
      </c>
      <c r="AO7" s="19">
        <v>79800</v>
      </c>
      <c r="AP7" s="19">
        <v>79800</v>
      </c>
    </row>
    <row r="11" spans="1:43" x14ac:dyDescent="0.2">
      <c r="B11" t="s">
        <v>229</v>
      </c>
    </row>
    <row r="12" spans="1:43" x14ac:dyDescent="0.2">
      <c r="B12" s="10" t="s">
        <v>231</v>
      </c>
    </row>
    <row r="13" spans="1:43" x14ac:dyDescent="0.2">
      <c r="B13" s="10" t="s">
        <v>232</v>
      </c>
    </row>
    <row r="14" spans="1:43" x14ac:dyDescent="0.2">
      <c r="B14" s="10" t="s">
        <v>234</v>
      </c>
    </row>
    <row r="15" spans="1:43" x14ac:dyDescent="0.2">
      <c r="B15" s="10" t="s">
        <v>233</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Drop Down 1">
              <controlPr defaultSize="0" autoLine="0" autoPict="0">
                <anchor moveWithCells="1">
                  <from>
                    <xdr:col>0</xdr:col>
                    <xdr:colOff>47625</xdr:colOff>
                    <xdr:row>8</xdr:row>
                    <xdr:rowOff>0</xdr:rowOff>
                  </from>
                  <to>
                    <xdr:col>1</xdr:col>
                    <xdr:colOff>2352675</xdr:colOff>
                    <xdr:row>9</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2</vt:i4>
      </vt:variant>
    </vt:vector>
  </HeadingPairs>
  <TitlesOfParts>
    <vt:vector size="5" baseType="lpstr">
      <vt:lpstr>read me first!</vt:lpstr>
      <vt:lpstr>data for graphs</vt:lpstr>
      <vt:lpstr>create graphs here!</vt:lpstr>
      <vt:lpstr>graph</vt:lpstr>
      <vt:lpstr>Total MD SAV graph</vt:lpstr>
    </vt:vector>
  </TitlesOfParts>
  <Company>DNR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rgolden</dc:creator>
  <cp:lastModifiedBy>Molly Westbrook -DNR-</cp:lastModifiedBy>
  <cp:lastPrinted>2022-06-15T14:19:49Z</cp:lastPrinted>
  <dcterms:created xsi:type="dcterms:W3CDTF">2016-06-13T16:18:15Z</dcterms:created>
  <dcterms:modified xsi:type="dcterms:W3CDTF">2026-05-11T19:01:15Z</dcterms:modified>
</cp:coreProperties>
</file>